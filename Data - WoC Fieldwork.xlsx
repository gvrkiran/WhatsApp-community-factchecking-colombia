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work W1" sheetId="1" r:id="rId5"/>
    <sheet state="visible" name="Fieldwork W2" sheetId="2" r:id="rId6"/>
    <sheet state="visible" name="DATA" sheetId="3" r:id="rId7"/>
    <sheet state="visible" name="Truth" sheetId="4" r:id="rId8"/>
    <sheet state="visible" name="content" sheetId="5" r:id="rId9"/>
    <sheet state="visible" name="participants" sheetId="6" r:id="rId10"/>
  </sheets>
  <definedNames/>
  <calcPr/>
</workbook>
</file>

<file path=xl/sharedStrings.xml><?xml version="1.0" encoding="utf-8"?>
<sst xmlns="http://schemas.openxmlformats.org/spreadsheetml/2006/main" count="2221" uniqueCount="279">
  <si>
    <t>Week 1</t>
  </si>
  <si>
    <t>Group 1</t>
  </si>
  <si>
    <t>Rand</t>
  </si>
  <si>
    <t>Respuesta 1</t>
  </si>
  <si>
    <t>Repuesta 2</t>
  </si>
  <si>
    <t>Repuesta 3</t>
  </si>
  <si>
    <t>Repuesta 4</t>
  </si>
  <si>
    <t>Repuesta 5</t>
  </si>
  <si>
    <t>Repuesta 6</t>
  </si>
  <si>
    <t>Respuesta 7</t>
  </si>
  <si>
    <t>Respuesta 8</t>
  </si>
  <si>
    <t>Respuesta 9</t>
  </si>
  <si>
    <t>Respuesta 10</t>
  </si>
  <si>
    <t>P11</t>
  </si>
  <si>
    <t>ID</t>
  </si>
  <si>
    <t>A</t>
  </si>
  <si>
    <t>B</t>
  </si>
  <si>
    <t>w1</t>
  </si>
  <si>
    <t>w2</t>
  </si>
  <si>
    <t>B*</t>
  </si>
  <si>
    <t>group</t>
  </si>
  <si>
    <t>Ground Truth G1</t>
  </si>
  <si>
    <t>e1</t>
  </si>
  <si>
    <t>e2</t>
  </si>
  <si>
    <t>P35</t>
  </si>
  <si>
    <t>e3</t>
  </si>
  <si>
    <t>P31</t>
  </si>
  <si>
    <t>e4</t>
  </si>
  <si>
    <t>e5</t>
  </si>
  <si>
    <t>e6</t>
  </si>
  <si>
    <t>e7</t>
  </si>
  <si>
    <t>e8</t>
  </si>
  <si>
    <t>e9</t>
  </si>
  <si>
    <t>e10</t>
  </si>
  <si>
    <t>e11</t>
  </si>
  <si>
    <t>e12</t>
  </si>
  <si>
    <t>e13</t>
  </si>
  <si>
    <t>e14</t>
  </si>
  <si>
    <t>e15</t>
  </si>
  <si>
    <t>P29</t>
  </si>
  <si>
    <t>e16</t>
  </si>
  <si>
    <t>e17</t>
  </si>
  <si>
    <t>e18</t>
  </si>
  <si>
    <t>e19</t>
  </si>
  <si>
    <t>P10</t>
  </si>
  <si>
    <t>e20</t>
  </si>
  <si>
    <t>resp_rate</t>
  </si>
  <si>
    <t>c1</t>
  </si>
  <si>
    <t>a1</t>
  </si>
  <si>
    <t>P01</t>
  </si>
  <si>
    <t>a2</t>
  </si>
  <si>
    <t>a3</t>
  </si>
  <si>
    <t>c2</t>
  </si>
  <si>
    <t>a4</t>
  </si>
  <si>
    <t>a5</t>
  </si>
  <si>
    <t>c3</t>
  </si>
  <si>
    <t>a6</t>
  </si>
  <si>
    <t>c4</t>
  </si>
  <si>
    <t>a7</t>
  </si>
  <si>
    <t>c5</t>
  </si>
  <si>
    <t>a8</t>
  </si>
  <si>
    <t>P09</t>
  </si>
  <si>
    <t>c6</t>
  </si>
  <si>
    <t>a9</t>
  </si>
  <si>
    <t>c7</t>
  </si>
  <si>
    <t>c8</t>
  </si>
  <si>
    <t>A*</t>
  </si>
  <si>
    <t>a10</t>
  </si>
  <si>
    <t>c9</t>
  </si>
  <si>
    <t>P08</t>
  </si>
  <si>
    <t>a11</t>
  </si>
  <si>
    <t>a12</t>
  </si>
  <si>
    <t>c10</t>
  </si>
  <si>
    <t>a13</t>
  </si>
  <si>
    <t>a14</t>
  </si>
  <si>
    <t>a15</t>
  </si>
  <si>
    <t>P27</t>
  </si>
  <si>
    <t>a16</t>
  </si>
  <si>
    <t>a17</t>
  </si>
  <si>
    <t>verdadero</t>
  </si>
  <si>
    <t>P07</t>
  </si>
  <si>
    <t>a18</t>
  </si>
  <si>
    <t>a19</t>
  </si>
  <si>
    <t>falso</t>
  </si>
  <si>
    <t>a20</t>
  </si>
  <si>
    <t>accuracy</t>
  </si>
  <si>
    <t>responded</t>
  </si>
  <si>
    <t>correct</t>
  </si>
  <si>
    <t>P21</t>
  </si>
  <si>
    <t>P05</t>
  </si>
  <si>
    <t>P37</t>
  </si>
  <si>
    <t>P38</t>
  </si>
  <si>
    <t>P22</t>
  </si>
  <si>
    <t>P36</t>
  </si>
  <si>
    <t>P24</t>
  </si>
  <si>
    <t>P28</t>
  </si>
  <si>
    <t>Ground Truth G2</t>
  </si>
  <si>
    <t>P19</t>
  </si>
  <si>
    <t>P34</t>
  </si>
  <si>
    <t>P26</t>
  </si>
  <si>
    <t>P15</t>
  </si>
  <si>
    <t>P04</t>
  </si>
  <si>
    <t>Week 2</t>
  </si>
  <si>
    <t>P32</t>
  </si>
  <si>
    <t>P33</t>
  </si>
  <si>
    <t>P17</t>
  </si>
  <si>
    <t>P20</t>
  </si>
  <si>
    <t>P30</t>
  </si>
  <si>
    <t>Verdadero</t>
  </si>
  <si>
    <t>Falso</t>
  </si>
  <si>
    <t>P13</t>
  </si>
  <si>
    <t>Falso ?</t>
  </si>
  <si>
    <t>Falso - Debatible</t>
  </si>
  <si>
    <t>Group 2</t>
  </si>
  <si>
    <t>Respuesta</t>
  </si>
  <si>
    <t>Respuesta 2</t>
  </si>
  <si>
    <t>Respuesta 3</t>
  </si>
  <si>
    <t>P12</t>
  </si>
  <si>
    <t>P03</t>
  </si>
  <si>
    <t>P25</t>
  </si>
  <si>
    <t>P16</t>
  </si>
  <si>
    <t>Ground Truth of the Content</t>
  </si>
  <si>
    <t>P14</t>
  </si>
  <si>
    <t>c11</t>
  </si>
  <si>
    <t>c12</t>
  </si>
  <si>
    <t>c13</t>
  </si>
  <si>
    <t>c14</t>
  </si>
  <si>
    <t>c15</t>
  </si>
  <si>
    <t>c16</t>
  </si>
  <si>
    <t>c17</t>
  </si>
  <si>
    <t>c18</t>
  </si>
  <si>
    <t>c19</t>
  </si>
  <si>
    <t>c20</t>
  </si>
  <si>
    <t>P18</t>
  </si>
  <si>
    <t>P02</t>
  </si>
  <si>
    <t>P23</t>
  </si>
  <si>
    <t>P06</t>
  </si>
  <si>
    <t>GRUPO 1</t>
  </si>
  <si>
    <t>GRUPO 2</t>
  </si>
  <si>
    <t>Feedback:</t>
  </si>
  <si>
    <t>📊 Resultados de la comunidad
42% → 🅰️ Verdadero
58% → 🅱️ Falso
¡Gracias por participar! 🙌</t>
  </si>
  <si>
    <t>📊 Resultados de la comunidad
90% → 🅰️ Verdadero
10% → 🅱️ Falso
¡Gracias por participar! 🙌</t>
  </si>
  <si>
    <t>______</t>
  </si>
  <si>
    <t>📊 Resultados de la comunidad
50% → 🅰️ Verdadero
50% → 🅱️ Falso
¡Gracias por participar! 🙌</t>
  </si>
  <si>
    <t>📊 Resultados de la comunidad
94% → 🅰️ Verdadero
6% → 🅱️ Falso
¡Gracias por participar! 🙌</t>
  </si>
  <si>
    <t>Media Name</t>
  </si>
  <si>
    <t>Truth Value</t>
  </si>
  <si>
    <t>Topic</t>
  </si>
  <si>
    <t>Modality</t>
  </si>
  <si>
    <t>Short description</t>
  </si>
  <si>
    <t>Fact-check source</t>
  </si>
  <si>
    <t>c1_G1W1_real</t>
  </si>
  <si>
    <t>Real</t>
  </si>
  <si>
    <t>National News</t>
  </si>
  <si>
    <t>Image</t>
  </si>
  <si>
    <t>Screenshot of a RRSS post claiming Colombia is the country woth most tolls in Latinamerica</t>
  </si>
  <si>
    <t>c2_G1W1_fake</t>
  </si>
  <si>
    <t>Fake</t>
  </si>
  <si>
    <t>Fear monguering</t>
  </si>
  <si>
    <t xml:space="preserve">Screenshot of a WhatsApp story showing the face of 4 men that allegedly are kidnapping kids from schools and houses. </t>
  </si>
  <si>
    <r>
      <rPr>
        <color rgb="FF1155CC"/>
        <u/>
      </rPr>
      <t>(3) Cazadores de Fake News en X: "No es cierta la cadena de Whatsapp que advierte sobre una banda dedicada al robo de niños y tráfico de órganos La imagen con la cara de los supuestos secuestradores de niños y traficantes de órganos ha circulado en distintos países latinoamericanos desde el año 2016. La alerta https://t.co/e0U3lS2XZ8" / X</t>
    </r>
  </si>
  <si>
    <t>Participant ID</t>
  </si>
  <si>
    <t>Gender</t>
  </si>
  <si>
    <t>Age</t>
  </si>
  <si>
    <t>Political Leaning</t>
  </si>
  <si>
    <t>Years of Education</t>
  </si>
  <si>
    <t>Years since Last Study</t>
  </si>
  <si>
    <t>Internet Use (1-5)</t>
  </si>
  <si>
    <t>Religiosity</t>
  </si>
  <si>
    <t>CRT</t>
  </si>
  <si>
    <t>Female</t>
  </si>
  <si>
    <t>Right</t>
  </si>
  <si>
    <t>No info</t>
  </si>
  <si>
    <t>Yes</t>
  </si>
  <si>
    <t>Left</t>
  </si>
  <si>
    <t>c3_G1W1_fake</t>
  </si>
  <si>
    <t>1-5 years</t>
  </si>
  <si>
    <t>Conspiracy</t>
  </si>
  <si>
    <t xml:space="preserve">Conspiracy infographic about "the real 2030 agenda", which change each ODS: "1. Reducing population, ... 3. Abortion and contraception..." </t>
  </si>
  <si>
    <t>c4_G1W1_fake</t>
  </si>
  <si>
    <t>Health</t>
  </si>
  <si>
    <t>&gt; 10 years</t>
  </si>
  <si>
    <t>Video</t>
  </si>
  <si>
    <t>A doctor claiming that dengue fever is caused by a lack of calcium and should be treated with calcium and vitamin D supplements.</t>
  </si>
  <si>
    <r>
      <rPr>
        <rFont val="Arial"/>
        <color rgb="FF1155CC"/>
        <u/>
      </rPr>
      <t>Es falso que el dengue “se da por falta de calcio” y “se cura con vitamina D” como asegura un video viral - Chequeado</t>
    </r>
  </si>
  <si>
    <t>&lt; 1 year</t>
  </si>
  <si>
    <t>No</t>
  </si>
  <si>
    <t>Male</t>
  </si>
  <si>
    <t>Prefer not answering</t>
  </si>
  <si>
    <t>Center</t>
  </si>
  <si>
    <t>c5_G1W1_real</t>
  </si>
  <si>
    <t>Nature</t>
  </si>
  <si>
    <t>Text</t>
  </si>
  <si>
    <t>Text chain warning about the impacts of installing hummingbird feeders and recommending flowers instead.</t>
  </si>
  <si>
    <t>5-10 years</t>
  </si>
  <si>
    <t>c6_G1W1_real</t>
  </si>
  <si>
    <t>Information table showing the different minimum wage rates in Colombia for 2025.</t>
  </si>
  <si>
    <t>c7_G1W1_real</t>
  </si>
  <si>
    <t>Regional News</t>
  </si>
  <si>
    <t>Journalistic format about the new traffic barriers that the Department of Mobility in Cali, Colombia, would use.</t>
  </si>
  <si>
    <t>c8_G1W1_fake</t>
  </si>
  <si>
    <t>Political</t>
  </si>
  <si>
    <t>Screenshot of an alleged tweet from former Colombian President Ivan Duque, in which he acknowledged an alleged drug trafficker as his campaign financier.</t>
  </si>
  <si>
    <t>https://www.lasillavacia.com/detector-de-mentiras/falso/detector-de-nuevo-duque-no-lamento-la-muerte-del-nene-hernandez/</t>
  </si>
  <si>
    <t>c9_G1W1_real</t>
  </si>
  <si>
    <t>Regional/National News</t>
  </si>
  <si>
    <t>Text + Image</t>
  </si>
  <si>
    <t>News article about the capture of a military-linked gang that provided support to illegal armed groups.</t>
  </si>
  <si>
    <t>c10_G1W1_fake</t>
  </si>
  <si>
    <t>A message about an alleged new telephone crime, in which if the person answers a call or text, their SIM card will be automatically duplicated.</t>
  </si>
  <si>
    <t>https://www.animalpolitico.com/verificacion-de-hechos/fact-checking/llamada-inviable-no-puede-robar-sim?utm_source=chatgpt.com
https://efectococuyo.com/cocuyo-chequea/cicpc-alerta-metodos-estafa-falso/?utm_source=chatgpt.com</t>
  </si>
  <si>
    <t>c1_G2W1_real</t>
  </si>
  <si>
    <t>Informative</t>
  </si>
  <si>
    <t>Infographic about what to do during a flood if in a vehicle</t>
  </si>
  <si>
    <t>c2_G2W1_fake</t>
  </si>
  <si>
    <t>An infographic-style post purportedly contains information on the number of deaths and adverse effects from COVID-19 vaccines, claiming that this is not a respiratory virus but poisoning.</t>
  </si>
  <si>
    <t>c3_G2W1_fake</t>
  </si>
  <si>
    <t>Screenshot of a WhatsApp status with supposed information "direct from prison," in which a prisoner warns about an order to steal children.</t>
  </si>
  <si>
    <t>c4_G2W1_fake</t>
  </si>
  <si>
    <t>A citizen at a toll booth claims that a supposed "Law 769 of 2002" dictates that after waiting five minutes, you don't have to pay a toll. This law doesn't exist, but in the video, they let him go without paying.</t>
  </si>
  <si>
    <r>
      <rPr>
        <rFont val="Arial"/>
        <color rgb="FF1155CC"/>
        <u/>
      </rPr>
      <t>ley-769-de-2002-codigo-nacional-de-transito_3704_0.pdf</t>
    </r>
  </si>
  <si>
    <t>c5_G2W1_real</t>
  </si>
  <si>
    <t>A chain message with recommendations that frames good health practices such as physical exercise or eating fruits and vegetables as "medicine."</t>
  </si>
  <si>
    <t>c6_G2W1_real</t>
  </si>
  <si>
    <t>Official informational video about a line of associative credit offered by a government agency.</t>
  </si>
  <si>
    <t>c7_G2W1_fake</t>
  </si>
  <si>
    <t>Bar chart with inaccurate and/or false information showing the number of on-duty deaths of members of the public force during three presidential terms in Colombia.</t>
  </si>
  <si>
    <t>c8_G2W1_fake</t>
  </si>
  <si>
    <t>Screenshot of a post stating that when withdrawing funds from an ATM, pressing "cancel" twice prevents data theft.</t>
  </si>
  <si>
    <t>c9_G2W1_real</t>
  </si>
  <si>
    <t>A doctor reports on the symptoms of a cerebral stroke to learn how to recognize and treat them.</t>
  </si>
  <si>
    <t>c10_G2W1_real</t>
  </si>
  <si>
    <t>Message informing about opossums, their ecosystem benefits, and recommending respecting their lives.</t>
  </si>
  <si>
    <t>c1_G1W2_real</t>
  </si>
  <si>
    <t>National News (Information)</t>
  </si>
  <si>
    <t>Image containing Article 199 of the Colombian Political Constitution.</t>
  </si>
  <si>
    <t>c2_G1W2_fake</t>
  </si>
  <si>
    <t>Video of a young man putting on a mask, with a message warning that these are the masks that "Venezuelans (immigrants) are using to rob."</t>
  </si>
  <si>
    <t>c3_G1W2_real</t>
  </si>
  <si>
    <t>An influencer reporting on a government technology training program based on virtual courses.</t>
  </si>
  <si>
    <t>c4_G1W2_fake</t>
  </si>
  <si>
    <t>A series of fake or hard-to-confirm anti-right political propaganda images, accompanied by a background speech by Frédéric Bastiat and delivered by an unknown host.</t>
  </si>
  <si>
    <t>c5_G1W2_real</t>
  </si>
  <si>
    <t>Post recommending cutting plastic rings before disposing of them to prevent birds and other animals from getting caught in them.</t>
  </si>
  <si>
    <t>c6_G1W2_fake</t>
  </si>
  <si>
    <t>A political propaganda image containing a series of supposed promises made but not kept by Colombian President Gustavo Petro. The first four are real, but the following are false or unverifiable.</t>
  </si>
  <si>
    <t>c7_G1W2_fake</t>
  </si>
  <si>
    <t xml:space="preserve">Long post mixing fake information about COVID-19. Claims that it is not a virus but a bacteria, that it is coused by blood coagulation, etc. </t>
  </si>
  <si>
    <t>c8_G1W1_real</t>
  </si>
  <si>
    <t>Video of an inspection visit by the Health Superintendency to a drug dispensing establishment in Bucaramanga, Colombia.</t>
  </si>
  <si>
    <t>c9_G1W1_fake</t>
  </si>
  <si>
    <t>Fake (Propaganda)</t>
  </si>
  <si>
    <t>A political propaganda video with ambiguous ideological leaning, which overlays an anti-corruption speech by El Salvador’s President Nayib Bukele onto imagery associated with former Colombian President Álvaro Uribe and the Colombian right. The juxtaposition creates the misleading impression that Bukele’s remarks are directed at Colombian political figures.</t>
  </si>
  <si>
    <t>c10_G1W1_real</t>
  </si>
  <si>
    <t>Political News</t>
  </si>
  <si>
    <t>Screenshot of a real headline from a mainstream media outlet about how Colombian President Petro authorized escorts for members of armed groups (in the context of a pro-peace meeting).</t>
  </si>
  <si>
    <t>c1_G2W2_fake</t>
  </si>
  <si>
    <t>Photo of a fake letter, allegedly issued by a security company, warning about a group of people posing as employees of the "Ministry of the Interior" and robbing homes.</t>
  </si>
  <si>
    <r>
      <rPr>
        <rFont val="Arial"/>
        <color rgb="FF1155CC"/>
        <u/>
      </rPr>
      <t>Es falso que funcionarios del Ministerio del Interior estén verificando identificación para un censo</t>
    </r>
  </si>
  <si>
    <t>c2_G2W2_real</t>
  </si>
  <si>
    <t>A pro-government influencer reporting on a railway project initiated by President Gustavo Petro's government.</t>
  </si>
  <si>
    <t>c3_G2W2fake</t>
  </si>
  <si>
    <t>Political / National News</t>
  </si>
  <si>
    <t>Screenshot of a social media post denouncing an alleged corruption scandal involving mishandling of seized assets. Although this is suspected, it mixes up information and is inaccurate.</t>
  </si>
  <si>
    <r>
      <rPr>
        <rFont val="Arial"/>
        <color rgb="FF1155CC"/>
        <u/>
      </rPr>
      <t>¿Dónde están? Bienes de origen ilícito no aparecen y tienen en líos a la SAE - NoticiasCaracol</t>
    </r>
  </si>
  <si>
    <t>c4_G2W2_real</t>
  </si>
  <si>
    <t>Excerpt from a renowned traditional newscast about the capture of a criminal in a town in Valle del Cauca, Colombia.</t>
  </si>
  <si>
    <t>c5_G2W2_fake</t>
  </si>
  <si>
    <t>Screenshot of an alleged quote from Congresswoman Maria Fernanda Cabal, threatening to commit a massacre against a teachers' union in Colombia.</t>
  </si>
  <si>
    <t>c6_G2W2_real</t>
  </si>
  <si>
    <t>Screenshot of a social media post stating that The Economist magazine named Colombia the fifth best economy in 2024.</t>
  </si>
  <si>
    <t>c7_G2W2_fake</t>
  </si>
  <si>
    <t>Chain message warning not to answer calls from certain numbers, claiming they are criminals from other countries who can copy your entire contact list in 3 seconds.</t>
  </si>
  <si>
    <t>c8_G2W2_real</t>
  </si>
  <si>
    <t>Official report on how a municipal government met with merchants in its central area to limit noise and encroachment into public spaces.</t>
  </si>
  <si>
    <t>c9_G2W2_fake</t>
  </si>
  <si>
    <t>Propaganda video edited for social media alleging that mainstream media is the true opposition to the government of Colombian President Gustavo Petro.</t>
  </si>
  <si>
    <t>c10_G2W2_real</t>
  </si>
  <si>
    <t>Informational video about necessary precautions when riding motorcycles at intersections with trucks.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</si>
</sst>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5.0"/>
      <color theme="1"/>
      <name val="Arial"/>
      <scheme val="minor"/>
    </font>
    <font>
      <sz val="12.0"/>
      <color theme="1"/>
      <name val="Arial"/>
      <scheme val="minor"/>
    </font>
    <font>
      <u/>
      <color rgb="FF1155CC"/>
      <name val="Arial"/>
    </font>
    <font>
      <b/>
      <sz val="14.0"/>
      <color theme="1"/>
      <name val="Arial"/>
      <scheme val="minor"/>
    </font>
    <font>
      <b/>
      <color theme="1"/>
      <name val="Arial"/>
      <scheme val="minor"/>
    </font>
    <font>
      <color theme="1"/>
      <name val="Arial"/>
      <scheme val="minor"/>
    </font>
    <font>
      <color theme="1"/>
      <name val="Arial"/>
    </font>
    <font>
      <u/>
      <color rgb="FF0000FF"/>
    </font>
  </fonts>
  <fills count="3">
    <fill>
      <patternFill patternType="none"/>
    </fill>
    <fill>
      <patternFill patternType="lightGray"/>
    </fill>
    <fill>
      <patternFill patternType="solid">
        <fgColor rgb="FFC9DAF8"/>
        <bgColor rgb="FFC9DAF8"/>
      </patternFill>
    </fill>
  </fills>
  <borders count="10">
    <border/>
    <border>
      <left style="thin">
        <color rgb="FF000000"/>
      </left>
      <top style="thin">
        <color rgb="FF000000"/>
      </top>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shrinkToFit="0" vertical="bottom" wrapText="0"/>
    </xf>
    <xf borderId="0" fillId="2" fontId="4" numFmtId="0" xfId="0" applyAlignment="1" applyFill="1" applyFont="1">
      <alignment readingOrder="0"/>
    </xf>
    <xf borderId="0" fillId="2" fontId="5" numFmtId="0" xfId="0" applyAlignment="1" applyFill="1" applyFont="1">
      <alignment readingOrder="0"/>
    </xf>
    <xf borderId="0" fillId="0" fontId="2" numFmtId="0" xfId="0" applyFont="1"/>
    <xf borderId="0" fillId="0" fontId="6" numFmtId="0" xfId="0" applyFont="1"/>
    <xf borderId="0" fillId="0" fontId="6" numFmtId="0" xfId="0" applyAlignment="1" applyFont="1">
      <alignment readingOrder="0"/>
    </xf>
    <xf borderId="0" fillId="0" fontId="5" numFmtId="0" xfId="0" applyAlignment="1" applyFont="1">
      <alignment readingOrder="0"/>
    </xf>
    <xf borderId="1" fillId="2" fontId="5" numFmtId="0" xfId="0" applyAlignment="1" applyBorder="1" applyFill="1" applyFont="1">
      <alignment readingOrder="0"/>
    </xf>
    <xf borderId="2" fillId="0" fontId="2" numFmtId="0" xfId="0" applyBorder="1" applyFont="1"/>
    <xf borderId="3" fillId="2" fontId="6" numFmtId="0" xfId="0" applyBorder="1" applyFill="1" applyFont="1"/>
    <xf borderId="4" fillId="2" fontId="6" numFmtId="0" xfId="0" applyBorder="1" applyFill="1" applyFont="1"/>
    <xf borderId="5" fillId="2" fontId="6" numFmtId="0" xfId="0" applyAlignment="1" applyBorder="1" applyFill="1" applyFont="1">
      <alignment readingOrder="0"/>
    </xf>
    <xf borderId="0" fillId="2" fontId="6" numFmtId="0" xfId="0" applyAlignment="1" applyFill="1" applyFont="1">
      <alignment readingOrder="0"/>
    </xf>
    <xf borderId="6" fillId="2" fontId="6" numFmtId="0" xfId="0" applyAlignment="1" applyBorder="1" applyFill="1" applyFont="1">
      <alignment readingOrder="0"/>
    </xf>
    <xf borderId="5" fillId="0" fontId="6" numFmtId="0" xfId="0" applyAlignment="1" applyBorder="1" applyFont="1">
      <alignment readingOrder="0"/>
    </xf>
    <xf borderId="6" fillId="0" fontId="6" numFmtId="0" xfId="0" applyAlignment="1" applyBorder="1" applyFont="1">
      <alignment readingOrder="0"/>
    </xf>
    <xf borderId="7" fillId="0" fontId="6" numFmtId="0" xfId="0" applyAlignment="1" applyBorder="1" applyFont="1">
      <alignment readingOrder="0"/>
    </xf>
    <xf borderId="8" fillId="0" fontId="6" numFmtId="0" xfId="0" applyAlignment="1" applyBorder="1" applyFont="1">
      <alignment readingOrder="0"/>
    </xf>
    <xf borderId="9" fillId="0" fontId="6" numFmtId="0" xfId="0" applyAlignment="1" applyBorder="1" applyFont="1">
      <alignment readingOrder="0"/>
    </xf>
    <xf borderId="1" fillId="2" fontId="6" numFmtId="0" xfId="0" applyAlignment="1" applyBorder="1" applyFill="1" applyFont="1">
      <alignment readingOrder="0"/>
    </xf>
    <xf borderId="0" fillId="0" fontId="7" numFmtId="0" xfId="0" applyAlignment="1" applyFont="1">
      <alignment shrinkToFit="0" vertical="bottom" wrapText="0"/>
    </xf>
    <xf borderId="0" fillId="0" fontId="7" numFmtId="0" xfId="0" applyAlignment="1" applyFont="1">
      <alignment readingOrder="0" shrinkToFit="0" vertical="bottom" wrapText="0"/>
    </xf>
    <xf borderId="3" fillId="2" fontId="6" numFmtId="0" xfId="0" applyAlignment="1" applyBorder="1" applyFill="1" applyFont="1">
      <alignment readingOrder="0"/>
    </xf>
    <xf borderId="4" fillId="2" fontId="6" numFmtId="0" xfId="0" applyAlignment="1" applyBorder="1" applyFill="1" applyFont="1">
      <alignment readingOrder="0"/>
    </xf>
    <xf borderId="5" fillId="0" fontId="5" numFmtId="0" xfId="0" applyAlignment="1" applyBorder="1" applyFont="1">
      <alignment readingOrder="0"/>
    </xf>
    <xf borderId="0" fillId="0" fontId="6" numFmtId="9" xfId="0" applyFont="1" applyNumberFormat="1"/>
    <xf borderId="2" fillId="0" fontId="6" numFmtId="0" xfId="0" applyBorder="1" applyFont="1"/>
    <xf borderId="7" fillId="0" fontId="5" numFmtId="0" xfId="0" applyAlignment="1" applyBorder="1" applyFont="1">
      <alignment readingOrder="0"/>
    </xf>
    <xf borderId="0" fillId="0" fontId="5"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shrinkToFit="0" wrapText="0"/>
    </xf>
    <xf borderId="0" fillId="0" fontId="8"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x.com/cazamosfakenews/status/1851665941236732182" TargetMode="External"/><Relationship Id="rId2" Type="http://schemas.openxmlformats.org/officeDocument/2006/relationships/hyperlink" Target="https://chequeado.com/ultimas-noticias/es-falso-que-el-dengue-se-da-por-falta-de-calcio-y-se-cura-con-vitamina-d/" TargetMode="External"/><Relationship Id="rId3" Type="http://schemas.openxmlformats.org/officeDocument/2006/relationships/hyperlink" Target="https://www.lasillavacia.com/detector-de-mentiras/falso/detector-de-nuevo-duque-no-lamento-la-muerte-del-nene-hernandez/" TargetMode="External"/><Relationship Id="rId4" Type="http://schemas.openxmlformats.org/officeDocument/2006/relationships/hyperlink" Target="https://www.animalpolitico.com/verificacion-de-hechos/fact-checking/llamada-inviable-no-puede-robar-sim?utm_source=chatgpt.com" TargetMode="External"/><Relationship Id="rId5" Type="http://schemas.openxmlformats.org/officeDocument/2006/relationships/hyperlink" Target="https://www.movilidadbogota.gov.co/web/sites/default/files/ley-769-de-2002-codigo-nacional-de-transito_3704_0.pdf" TargetMode="External"/><Relationship Id="rId6" Type="http://schemas.openxmlformats.org/officeDocument/2006/relationships/hyperlink" Target="https://www.cazadoresdefakenews.info/es-falso-que-funcionarios-del-ministerio-del-interior-esten-verificando-identificacion-para-un-censo/" TargetMode="External"/><Relationship Id="rId7" Type="http://schemas.openxmlformats.org/officeDocument/2006/relationships/hyperlink" Target="https://www.noticiascaracol.com/colombia/bienes-de-origen-ilicito-no-aparecen-y-tienen-en-lios-a-la-sae-rg10"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3"/>
    </row>
    <row r="3">
      <c r="A3" s="4" t="s">
        <v>1</v>
      </c>
      <c r="B3" s="5" t="s">
        <v>2</v>
      </c>
      <c r="C3" s="5" t="s">
        <v>3</v>
      </c>
      <c r="D3" s="5" t="s">
        <v>4</v>
      </c>
      <c r="E3" s="5" t="s">
        <v>5</v>
      </c>
      <c r="F3" s="5" t="s">
        <v>6</v>
      </c>
      <c r="G3" s="5" t="s">
        <v>7</v>
      </c>
      <c r="H3" s="5" t="s">
        <v>8</v>
      </c>
      <c r="I3" s="5" t="s">
        <v>9</v>
      </c>
      <c r="J3" s="5" t="s">
        <v>10</v>
      </c>
      <c r="K3" s="5" t="s">
        <v>11</v>
      </c>
      <c r="L3" s="5" t="s">
        <v>12</v>
      </c>
    </row>
    <row r="4">
      <c r="A4" s="6" t="s">
        <v>13</v>
      </c>
      <c r="B4" s="7">
        <v>0.02009795728898034</v>
      </c>
      <c r="C4" s="8" t="s">
        <v>15</v>
      </c>
      <c r="D4" s="8" t="s">
        <v>15</v>
      </c>
      <c r="E4" s="8" t="s">
        <v>16</v>
      </c>
      <c r="F4" s="8" t="s">
        <v>15</v>
      </c>
      <c r="G4" s="8" t="s">
        <v>15</v>
      </c>
      <c r="H4" s="8" t="s">
        <v>15</v>
      </c>
      <c r="I4" s="8" t="s">
        <v>15</v>
      </c>
      <c r="J4" s="8" t="s">
        <v>16</v>
      </c>
      <c r="K4" s="8" t="s">
        <v>19</v>
      </c>
      <c r="L4" s="8" t="s">
        <v>16</v>
      </c>
    </row>
    <row r="5">
      <c r="A5" s="11" t="s">
        <v>24</v>
      </c>
      <c r="B5" s="7">
        <v>0.0248421322373511</v>
      </c>
      <c r="C5" s="8" t="s">
        <v>15</v>
      </c>
      <c r="D5" s="8" t="s">
        <v>16</v>
      </c>
      <c r="E5" s="8" t="s">
        <v>16</v>
      </c>
      <c r="F5" s="8" t="s">
        <v>16</v>
      </c>
      <c r="G5" s="8" t="s">
        <v>15</v>
      </c>
      <c r="H5" s="8" t="s">
        <v>15</v>
      </c>
      <c r="J5" s="8" t="s">
        <v>16</v>
      </c>
      <c r="K5" s="8" t="s">
        <v>15</v>
      </c>
      <c r="L5" s="8" t="s">
        <v>15</v>
      </c>
    </row>
    <row r="6">
      <c r="A6" s="11" t="s">
        <v>39</v>
      </c>
      <c r="B6" s="7">
        <v>0.07935425307629218</v>
      </c>
      <c r="C6" s="8" t="s">
        <v>15</v>
      </c>
      <c r="D6" s="8" t="s">
        <v>16</v>
      </c>
      <c r="F6" s="8" t="s">
        <v>16</v>
      </c>
      <c r="G6" s="8" t="s">
        <v>15</v>
      </c>
      <c r="H6" s="8" t="s">
        <v>15</v>
      </c>
      <c r="I6" s="8" t="s">
        <v>15</v>
      </c>
      <c r="J6" s="8" t="s">
        <v>16</v>
      </c>
      <c r="K6" s="8" t="s">
        <v>16</v>
      </c>
      <c r="L6" s="8" t="s">
        <v>16</v>
      </c>
    </row>
    <row r="7">
      <c r="A7" s="11" t="s">
        <v>49</v>
      </c>
      <c r="B7" s="7">
        <v>0.12628296613794565</v>
      </c>
      <c r="C7" s="8" t="s">
        <v>15</v>
      </c>
      <c r="D7" s="8" t="s">
        <v>16</v>
      </c>
      <c r="E7" s="8" t="s">
        <v>16</v>
      </c>
      <c r="F7" s="8" t="s">
        <v>16</v>
      </c>
      <c r="G7" s="8" t="s">
        <v>15</v>
      </c>
      <c r="H7" s="8" t="s">
        <v>16</v>
      </c>
      <c r="I7" s="8" t="s">
        <v>15</v>
      </c>
      <c r="J7" s="8" t="s">
        <v>16</v>
      </c>
      <c r="K7" s="8" t="s">
        <v>15</v>
      </c>
      <c r="L7" s="8" t="s">
        <v>16</v>
      </c>
    </row>
    <row r="8">
      <c r="A8" s="11" t="s">
        <v>69</v>
      </c>
      <c r="B8" s="7">
        <v>0.13432477335322668</v>
      </c>
      <c r="C8" s="8" t="s">
        <v>15</v>
      </c>
      <c r="D8" s="8" t="s">
        <v>16</v>
      </c>
      <c r="E8" s="8" t="s">
        <v>16</v>
      </c>
      <c r="F8" s="8" t="s">
        <v>16</v>
      </c>
      <c r="G8" s="8" t="s">
        <v>16</v>
      </c>
      <c r="H8" s="8" t="s">
        <v>15</v>
      </c>
      <c r="I8" s="8" t="s">
        <v>15</v>
      </c>
      <c r="J8" s="8" t="s">
        <v>16</v>
      </c>
      <c r="K8" s="8" t="s">
        <v>15</v>
      </c>
      <c r="L8" s="8" t="s">
        <v>16</v>
      </c>
    </row>
    <row r="9">
      <c r="A9" s="11" t="s">
        <v>80</v>
      </c>
      <c r="B9" s="7">
        <v>0.19358816247398136</v>
      </c>
      <c r="C9" s="8" t="s">
        <v>15</v>
      </c>
      <c r="D9" s="8" t="s">
        <v>16</v>
      </c>
      <c r="E9" s="8" t="s">
        <v>16</v>
      </c>
      <c r="F9" s="8" t="s">
        <v>16</v>
      </c>
      <c r="G9" s="8" t="s">
        <v>15</v>
      </c>
      <c r="H9" s="8" t="s">
        <v>16</v>
      </c>
      <c r="I9" s="8" t="s">
        <v>15</v>
      </c>
      <c r="J9" s="8" t="s">
        <v>16</v>
      </c>
      <c r="K9" s="8" t="s">
        <v>16</v>
      </c>
      <c r="L9" s="8" t="s">
        <v>16</v>
      </c>
    </row>
    <row r="10">
      <c r="A10" s="11" t="s">
        <v>89</v>
      </c>
      <c r="B10" s="7">
        <v>0.19889441120291684</v>
      </c>
      <c r="C10" s="8" t="s">
        <v>15</v>
      </c>
      <c r="D10" s="8" t="s">
        <v>16</v>
      </c>
      <c r="E10" s="8" t="s">
        <v>16</v>
      </c>
      <c r="F10" s="8" t="s">
        <v>16</v>
      </c>
      <c r="G10" s="8" t="s">
        <v>16</v>
      </c>
      <c r="H10" s="8" t="s">
        <v>15</v>
      </c>
      <c r="I10" s="8" t="s">
        <v>15</v>
      </c>
      <c r="J10" s="8" t="s">
        <v>15</v>
      </c>
      <c r="K10" s="8" t="s">
        <v>16</v>
      </c>
      <c r="L10" s="8" t="s">
        <v>15</v>
      </c>
    </row>
    <row r="11">
      <c r="A11" s="11" t="s">
        <v>90</v>
      </c>
      <c r="B11" s="7">
        <v>0.22664408909400224</v>
      </c>
      <c r="C11" s="8" t="s">
        <v>16</v>
      </c>
      <c r="D11" s="8" t="s">
        <v>16</v>
      </c>
      <c r="E11" s="8" t="s">
        <v>16</v>
      </c>
      <c r="F11" s="8" t="s">
        <v>16</v>
      </c>
      <c r="G11" s="8" t="s">
        <v>15</v>
      </c>
      <c r="H11" s="8" t="s">
        <v>15</v>
      </c>
      <c r="I11" s="8" t="s">
        <v>15</v>
      </c>
      <c r="J11" s="8" t="s">
        <v>16</v>
      </c>
      <c r="K11" s="8" t="s">
        <v>15</v>
      </c>
      <c r="L11" s="8" t="s">
        <v>16</v>
      </c>
    </row>
    <row r="12">
      <c r="A12" s="11" t="s">
        <v>91</v>
      </c>
      <c r="B12" s="7">
        <v>0.2553108061279914</v>
      </c>
      <c r="D12" s="8" t="s">
        <v>15</v>
      </c>
      <c r="E12" s="8" t="s">
        <v>16</v>
      </c>
      <c r="F12" s="8" t="s">
        <v>15</v>
      </c>
      <c r="G12" s="8" t="s">
        <v>15</v>
      </c>
      <c r="H12" s="8" t="s">
        <v>15</v>
      </c>
      <c r="I12" s="8" t="s">
        <v>15</v>
      </c>
      <c r="J12" s="8" t="s">
        <v>16</v>
      </c>
      <c r="K12" s="8" t="s">
        <v>15</v>
      </c>
      <c r="L12" s="8" t="s">
        <v>15</v>
      </c>
    </row>
    <row r="13">
      <c r="A13" s="11" t="s">
        <v>94</v>
      </c>
      <c r="B13" s="7">
        <v>0.3564446073737285</v>
      </c>
      <c r="C13" s="8" t="s">
        <v>16</v>
      </c>
      <c r="D13" s="8" t="s">
        <v>16</v>
      </c>
      <c r="E13" s="8" t="s">
        <v>16</v>
      </c>
      <c r="F13" s="8"/>
      <c r="G13" s="8" t="s">
        <v>15</v>
      </c>
      <c r="H13" s="8" t="s">
        <v>15</v>
      </c>
      <c r="I13" s="8" t="s">
        <v>15</v>
      </c>
      <c r="J13" s="8" t="s">
        <v>16</v>
      </c>
      <c r="K13" s="8" t="s">
        <v>15</v>
      </c>
      <c r="L13" s="8" t="s">
        <v>16</v>
      </c>
    </row>
    <row r="14">
      <c r="A14" s="11" t="s">
        <v>97</v>
      </c>
      <c r="B14" s="7">
        <v>0.3744926371657963</v>
      </c>
      <c r="C14" s="8" t="s">
        <v>16</v>
      </c>
      <c r="D14" s="8" t="s">
        <v>15</v>
      </c>
      <c r="E14" s="8" t="s">
        <v>16</v>
      </c>
      <c r="F14" s="8" t="s">
        <v>15</v>
      </c>
      <c r="G14" s="8" t="s">
        <v>15</v>
      </c>
      <c r="H14" s="8" t="s">
        <v>16</v>
      </c>
      <c r="I14" s="8" t="s">
        <v>16</v>
      </c>
      <c r="J14" s="8" t="s">
        <v>15</v>
      </c>
      <c r="K14" s="8" t="s">
        <v>15</v>
      </c>
      <c r="L14" s="8" t="s">
        <v>15</v>
      </c>
    </row>
    <row r="15">
      <c r="A15" s="11" t="s">
        <v>98</v>
      </c>
      <c r="B15" s="7">
        <v>0.4006963531584069</v>
      </c>
      <c r="C15" s="8" t="s">
        <v>16</v>
      </c>
      <c r="D15" s="8" t="s">
        <v>16</v>
      </c>
      <c r="E15" s="8" t="s">
        <v>15</v>
      </c>
      <c r="F15" s="8" t="s">
        <v>15</v>
      </c>
      <c r="G15" s="8" t="s">
        <v>15</v>
      </c>
      <c r="H15" s="8" t="s">
        <v>16</v>
      </c>
      <c r="I15" s="8" t="s">
        <v>15</v>
      </c>
      <c r="J15" s="8" t="s">
        <v>16</v>
      </c>
      <c r="K15" s="8" t="s">
        <v>15</v>
      </c>
      <c r="L15" s="8" t="s">
        <v>16</v>
      </c>
    </row>
    <row r="16">
      <c r="A16" s="11" t="s">
        <v>100</v>
      </c>
      <c r="B16" s="7">
        <v>0.40260065704686265</v>
      </c>
      <c r="C16" s="8" t="s">
        <v>15</v>
      </c>
      <c r="D16" s="8" t="s">
        <v>16</v>
      </c>
      <c r="E16" s="8" t="s">
        <v>16</v>
      </c>
      <c r="F16" s="8" t="s">
        <v>16</v>
      </c>
      <c r="G16" s="8" t="s">
        <v>15</v>
      </c>
      <c r="H16" s="8" t="s">
        <v>16</v>
      </c>
      <c r="J16" s="8" t="s">
        <v>16</v>
      </c>
      <c r="K16" s="8" t="s">
        <v>16</v>
      </c>
      <c r="L16" s="8" t="s">
        <v>15</v>
      </c>
    </row>
    <row r="17">
      <c r="A17" s="11" t="s">
        <v>88</v>
      </c>
      <c r="B17" s="7">
        <v>0.4286464160147563</v>
      </c>
      <c r="G17" s="8" t="s">
        <v>15</v>
      </c>
      <c r="H17" s="8" t="s">
        <v>15</v>
      </c>
      <c r="I17" s="8" t="s">
        <v>15</v>
      </c>
      <c r="J17" s="8" t="s">
        <v>15</v>
      </c>
      <c r="K17" s="8" t="s">
        <v>15</v>
      </c>
      <c r="L17" s="8" t="s">
        <v>15</v>
      </c>
    </row>
    <row r="18">
      <c r="A18" s="11" t="s">
        <v>101</v>
      </c>
      <c r="B18" s="7">
        <v>0.4366155347625059</v>
      </c>
      <c r="J18" s="8" t="s">
        <v>16</v>
      </c>
      <c r="K18" s="8" t="s">
        <v>16</v>
      </c>
      <c r="L18" s="8" t="s">
        <v>16</v>
      </c>
    </row>
    <row r="19">
      <c r="A19" s="11" t="s">
        <v>103</v>
      </c>
      <c r="B19" s="7">
        <v>0.45955239500301903</v>
      </c>
      <c r="C19" s="8" t="s">
        <v>15</v>
      </c>
      <c r="D19" s="8" t="s">
        <v>16</v>
      </c>
      <c r="E19" s="8" t="s">
        <v>15</v>
      </c>
      <c r="F19" s="8" t="s">
        <v>16</v>
      </c>
      <c r="G19" s="8" t="s">
        <v>15</v>
      </c>
      <c r="H19" s="8" t="s">
        <v>15</v>
      </c>
      <c r="I19" s="8" t="s">
        <v>15</v>
      </c>
      <c r="J19" s="8" t="s">
        <v>16</v>
      </c>
      <c r="K19" s="8" t="s">
        <v>16</v>
      </c>
      <c r="L19" s="8" t="s">
        <v>16</v>
      </c>
    </row>
    <row r="20">
      <c r="A20" s="11" t="s">
        <v>105</v>
      </c>
      <c r="B20" s="8">
        <v>0.4723958716</v>
      </c>
      <c r="C20" s="8" t="s">
        <v>15</v>
      </c>
      <c r="D20" s="8" t="s">
        <v>16</v>
      </c>
      <c r="E20" s="8" t="s">
        <v>16</v>
      </c>
      <c r="F20" s="8" t="s">
        <v>16</v>
      </c>
      <c r="G20" s="8" t="s">
        <v>15</v>
      </c>
      <c r="H20" s="8" t="s">
        <v>15</v>
      </c>
      <c r="I20" s="8" t="s">
        <v>15</v>
      </c>
      <c r="J20" s="8" t="s">
        <v>15</v>
      </c>
      <c r="K20" s="8" t="s">
        <v>15</v>
      </c>
      <c r="L20" s="8" t="s">
        <v>16</v>
      </c>
    </row>
    <row r="21">
      <c r="A21" s="11" t="s">
        <v>106</v>
      </c>
      <c r="B21" s="8">
        <v>0.476254295503019</v>
      </c>
      <c r="C21" s="8" t="s">
        <v>15</v>
      </c>
      <c r="D21" s="8" t="s">
        <v>16</v>
      </c>
      <c r="E21" s="8" t="s">
        <v>16</v>
      </c>
      <c r="F21" s="8" t="s">
        <v>16</v>
      </c>
      <c r="G21" s="8" t="s">
        <v>15</v>
      </c>
      <c r="H21" s="8" t="s">
        <v>15</v>
      </c>
      <c r="I21" s="8" t="s">
        <v>15</v>
      </c>
      <c r="J21" s="8" t="s">
        <v>16</v>
      </c>
      <c r="K21" s="8" t="s">
        <v>16</v>
      </c>
      <c r="L21" s="8" t="s">
        <v>15</v>
      </c>
    </row>
    <row r="22">
      <c r="A22" s="11" t="s">
        <v>110</v>
      </c>
      <c r="B22" s="7">
        <v>0.4980329470826709</v>
      </c>
      <c r="C22" s="8" t="s">
        <v>15</v>
      </c>
      <c r="D22" s="8" t="s">
        <v>16</v>
      </c>
      <c r="E22" s="8" t="s">
        <v>16</v>
      </c>
      <c r="F22" s="8" t="s">
        <v>16</v>
      </c>
      <c r="G22" s="8" t="s">
        <v>16</v>
      </c>
      <c r="H22" s="8" t="s">
        <v>15</v>
      </c>
      <c r="I22" s="8" t="s">
        <v>15</v>
      </c>
      <c r="J22" s="8" t="s">
        <v>15</v>
      </c>
      <c r="K22" s="8" t="s">
        <v>16</v>
      </c>
      <c r="L22" s="8" t="s">
        <v>15</v>
      </c>
    </row>
    <row r="23">
      <c r="J23" s="8"/>
    </row>
    <row r="25">
      <c r="A25" s="2"/>
      <c r="B25" s="3"/>
      <c r="C25" s="23"/>
      <c r="D25" s="23"/>
    </row>
    <row r="26">
      <c r="B26" s="3"/>
      <c r="C26" s="23"/>
    </row>
    <row r="27">
      <c r="A27" s="4" t="s">
        <v>113</v>
      </c>
      <c r="B27" s="5" t="s">
        <v>2</v>
      </c>
      <c r="C27" s="5" t="s">
        <v>114</v>
      </c>
      <c r="D27" s="5" t="s">
        <v>115</v>
      </c>
      <c r="E27" s="5" t="s">
        <v>116</v>
      </c>
      <c r="F27" s="5" t="s">
        <v>6</v>
      </c>
      <c r="G27" s="5" t="s">
        <v>7</v>
      </c>
      <c r="H27" s="5" t="s">
        <v>8</v>
      </c>
      <c r="I27" s="5" t="s">
        <v>9</v>
      </c>
      <c r="J27" s="5" t="s">
        <v>10</v>
      </c>
      <c r="K27" s="5" t="s">
        <v>11</v>
      </c>
      <c r="L27" s="5" t="s">
        <v>12</v>
      </c>
    </row>
    <row r="28">
      <c r="A28" s="11" t="s">
        <v>117</v>
      </c>
      <c r="B28" s="7">
        <v>0.531874155681372</v>
      </c>
      <c r="C28" s="8" t="s">
        <v>15</v>
      </c>
      <c r="D28" s="8" t="s">
        <v>15</v>
      </c>
      <c r="E28" s="8" t="s">
        <v>15</v>
      </c>
      <c r="F28" s="8" t="s">
        <v>15</v>
      </c>
      <c r="G28" s="8" t="s">
        <v>15</v>
      </c>
      <c r="H28" s="8" t="s">
        <v>16</v>
      </c>
      <c r="I28" s="8" t="s">
        <v>16</v>
      </c>
      <c r="J28" s="8" t="s">
        <v>15</v>
      </c>
      <c r="K28" s="8" t="s">
        <v>16</v>
      </c>
      <c r="L28" s="8" t="s">
        <v>15</v>
      </c>
    </row>
    <row r="29">
      <c r="A29" s="11" t="s">
        <v>119</v>
      </c>
      <c r="B29" s="7">
        <v>0.538717100069513</v>
      </c>
      <c r="C29" s="8" t="s">
        <v>15</v>
      </c>
      <c r="D29" s="8" t="s">
        <v>16</v>
      </c>
      <c r="E29" s="8" t="s">
        <v>15</v>
      </c>
      <c r="F29" s="8" t="s">
        <v>16</v>
      </c>
      <c r="G29" s="8" t="s">
        <v>15</v>
      </c>
      <c r="H29" s="8" t="s">
        <v>15</v>
      </c>
      <c r="I29" s="8" t="s">
        <v>16</v>
      </c>
      <c r="J29" s="8" t="s">
        <v>15</v>
      </c>
      <c r="K29" s="8" t="s">
        <v>15</v>
      </c>
      <c r="L29" s="8" t="s">
        <v>15</v>
      </c>
    </row>
    <row r="30">
      <c r="A30" s="11" t="s">
        <v>120</v>
      </c>
      <c r="B30" s="7">
        <v>0.5490997664766651</v>
      </c>
      <c r="C30" s="8" t="s">
        <v>15</v>
      </c>
      <c r="D30" s="8" t="s">
        <v>16</v>
      </c>
      <c r="E30" s="8" t="s">
        <v>16</v>
      </c>
      <c r="F30" s="8" t="s">
        <v>15</v>
      </c>
      <c r="G30" s="8" t="s">
        <v>16</v>
      </c>
      <c r="H30" s="8" t="s">
        <v>15</v>
      </c>
      <c r="I30" s="8" t="s">
        <v>15</v>
      </c>
      <c r="J30" s="8" t="s">
        <v>15</v>
      </c>
      <c r="K30" s="8" t="s">
        <v>15</v>
      </c>
      <c r="L30" s="8" t="s">
        <v>15</v>
      </c>
    </row>
    <row r="31">
      <c r="A31" s="11" t="s">
        <v>122</v>
      </c>
      <c r="B31" s="7">
        <v>0.5766529211112673</v>
      </c>
      <c r="C31" s="8" t="s">
        <v>15</v>
      </c>
      <c r="D31" s="8" t="s">
        <v>15</v>
      </c>
      <c r="E31" s="8" t="s">
        <v>16</v>
      </c>
      <c r="F31" s="8" t="s">
        <v>15</v>
      </c>
      <c r="G31" s="8" t="s">
        <v>15</v>
      </c>
      <c r="H31" s="8" t="s">
        <v>15</v>
      </c>
      <c r="I31" s="8" t="s">
        <v>16</v>
      </c>
      <c r="J31" s="8" t="s">
        <v>15</v>
      </c>
      <c r="K31" s="8" t="s">
        <v>15</v>
      </c>
      <c r="L31" s="8" t="s">
        <v>15</v>
      </c>
    </row>
    <row r="32">
      <c r="A32" s="11" t="s">
        <v>107</v>
      </c>
      <c r="B32" s="7">
        <v>0.676969995830191</v>
      </c>
      <c r="C32" s="8" t="s">
        <v>15</v>
      </c>
      <c r="D32" s="8" t="s">
        <v>16</v>
      </c>
      <c r="E32" s="8" t="s">
        <v>16</v>
      </c>
      <c r="F32" s="8" t="s">
        <v>16</v>
      </c>
      <c r="G32" s="8" t="s">
        <v>15</v>
      </c>
      <c r="H32" s="8" t="s">
        <v>15</v>
      </c>
      <c r="I32" s="8" t="s">
        <v>16</v>
      </c>
      <c r="J32" s="8" t="s">
        <v>15</v>
      </c>
      <c r="K32" s="8" t="s">
        <v>15</v>
      </c>
      <c r="L32" s="8" t="s">
        <v>15</v>
      </c>
    </row>
    <row r="33">
      <c r="A33" s="11" t="s">
        <v>99</v>
      </c>
      <c r="B33" s="7">
        <v>0.7001932161269807</v>
      </c>
      <c r="C33" s="8" t="s">
        <v>15</v>
      </c>
      <c r="D33" s="8" t="s">
        <v>16</v>
      </c>
      <c r="E33" s="8" t="s">
        <v>15</v>
      </c>
      <c r="F33" s="8" t="s">
        <v>15</v>
      </c>
      <c r="G33" s="8" t="s">
        <v>16</v>
      </c>
      <c r="H33" s="8" t="s">
        <v>15</v>
      </c>
      <c r="I33" s="8" t="s">
        <v>16</v>
      </c>
      <c r="J33" s="8" t="s">
        <v>16</v>
      </c>
      <c r="K33" s="8" t="s">
        <v>15</v>
      </c>
      <c r="L33" s="8" t="s">
        <v>15</v>
      </c>
    </row>
    <row r="34">
      <c r="A34" s="11" t="s">
        <v>93</v>
      </c>
      <c r="B34" s="7">
        <v>0.7255656418155062</v>
      </c>
      <c r="J34" s="8" t="s">
        <v>16</v>
      </c>
      <c r="L34" s="8" t="s">
        <v>15</v>
      </c>
    </row>
    <row r="35">
      <c r="A35" s="11" t="s">
        <v>104</v>
      </c>
      <c r="B35" s="7">
        <v>0.7504248007923736</v>
      </c>
      <c r="C35" s="8" t="s">
        <v>15</v>
      </c>
      <c r="D35" s="8" t="s">
        <v>16</v>
      </c>
      <c r="E35" s="8" t="s">
        <v>16</v>
      </c>
      <c r="F35" s="8" t="s">
        <v>15</v>
      </c>
      <c r="G35" s="8" t="s">
        <v>15</v>
      </c>
      <c r="H35" s="8" t="s">
        <v>15</v>
      </c>
      <c r="I35" s="8" t="s">
        <v>16</v>
      </c>
      <c r="J35" s="8" t="s">
        <v>16</v>
      </c>
      <c r="K35" s="8" t="s">
        <v>15</v>
      </c>
      <c r="L35" s="8" t="s">
        <v>15</v>
      </c>
    </row>
    <row r="36">
      <c r="A36" s="11" t="s">
        <v>118</v>
      </c>
      <c r="B36" s="7">
        <v>0.7540120012039275</v>
      </c>
      <c r="C36" s="8" t="s">
        <v>15</v>
      </c>
      <c r="D36" s="8" t="s">
        <v>15</v>
      </c>
      <c r="E36" s="8" t="s">
        <v>15</v>
      </c>
      <c r="F36" s="8" t="s">
        <v>15</v>
      </c>
      <c r="G36" s="8" t="s">
        <v>15</v>
      </c>
      <c r="H36" s="8" t="s">
        <v>15</v>
      </c>
      <c r="I36" s="8" t="s">
        <v>16</v>
      </c>
      <c r="J36" s="8" t="s">
        <v>15</v>
      </c>
      <c r="K36" s="8" t="s">
        <v>15</v>
      </c>
      <c r="L36" s="8" t="s">
        <v>15</v>
      </c>
    </row>
    <row r="37">
      <c r="A37" s="11" t="s">
        <v>133</v>
      </c>
      <c r="B37" s="7">
        <v>0.7865677017685215</v>
      </c>
      <c r="D37" s="8" t="s">
        <v>19</v>
      </c>
      <c r="E37" s="8" t="s">
        <v>16</v>
      </c>
      <c r="F37" s="8" t="s">
        <v>16</v>
      </c>
      <c r="G37" s="8" t="s">
        <v>15</v>
      </c>
      <c r="H37" s="8" t="s">
        <v>15</v>
      </c>
      <c r="I37" s="8" t="s">
        <v>16</v>
      </c>
      <c r="J37" s="8" t="s">
        <v>15</v>
      </c>
      <c r="K37" s="8" t="s">
        <v>15</v>
      </c>
      <c r="L37" s="8" t="s">
        <v>15</v>
      </c>
    </row>
    <row r="38">
      <c r="A38" s="29" t="s">
        <v>134</v>
      </c>
      <c r="B38" s="7">
        <v>0.7896259365730204</v>
      </c>
      <c r="C38" s="8" t="s">
        <v>15</v>
      </c>
      <c r="D38" s="8" t="s">
        <v>16</v>
      </c>
      <c r="E38" s="8" t="s">
        <v>16</v>
      </c>
      <c r="F38" s="8" t="s">
        <v>15</v>
      </c>
      <c r="G38" s="8" t="s">
        <v>16</v>
      </c>
      <c r="H38" s="8" t="s">
        <v>15</v>
      </c>
      <c r="I38" s="8" t="s">
        <v>16</v>
      </c>
      <c r="J38" s="8" t="s">
        <v>15</v>
      </c>
      <c r="K38" s="8" t="s">
        <v>15</v>
      </c>
      <c r="L38" s="8" t="s">
        <v>16</v>
      </c>
    </row>
    <row r="39">
      <c r="A39" s="11" t="s">
        <v>92</v>
      </c>
      <c r="B39" s="7">
        <v>0.8775523111208022</v>
      </c>
      <c r="C39" s="8" t="s">
        <v>15</v>
      </c>
      <c r="D39" s="8" t="s">
        <v>16</v>
      </c>
      <c r="E39" s="8" t="s">
        <v>15</v>
      </c>
      <c r="F39" s="8" t="s">
        <v>16</v>
      </c>
      <c r="G39" s="8" t="s">
        <v>15</v>
      </c>
      <c r="H39" s="8" t="s">
        <v>15</v>
      </c>
      <c r="I39" s="8" t="s">
        <v>16</v>
      </c>
      <c r="J39" s="8"/>
      <c r="K39" s="8" t="s">
        <v>15</v>
      </c>
      <c r="L39" s="8" t="s">
        <v>15</v>
      </c>
    </row>
    <row r="40">
      <c r="A40" s="11" t="s">
        <v>44</v>
      </c>
      <c r="B40" s="7">
        <v>0.9018805219560254</v>
      </c>
      <c r="C40" s="8" t="s">
        <v>15</v>
      </c>
      <c r="D40" s="8" t="s">
        <v>16</v>
      </c>
      <c r="E40" s="8" t="s">
        <v>15</v>
      </c>
      <c r="F40" s="8" t="s">
        <v>15</v>
      </c>
      <c r="G40" s="8" t="s">
        <v>15</v>
      </c>
      <c r="H40" s="8" t="s">
        <v>15</v>
      </c>
      <c r="I40" s="8" t="s">
        <v>15</v>
      </c>
      <c r="J40" s="8" t="s">
        <v>16</v>
      </c>
      <c r="K40" s="8" t="s">
        <v>15</v>
      </c>
      <c r="L40" s="8" t="s">
        <v>15</v>
      </c>
    </row>
    <row r="41">
      <c r="A41" s="11" t="s">
        <v>135</v>
      </c>
      <c r="B41" s="7">
        <v>0.9151298050737365</v>
      </c>
      <c r="C41" s="8" t="s">
        <v>15</v>
      </c>
      <c r="D41" s="8" t="s">
        <v>16</v>
      </c>
      <c r="E41" s="8" t="s">
        <v>16</v>
      </c>
      <c r="F41" s="8" t="s">
        <v>15</v>
      </c>
      <c r="G41" s="8" t="s">
        <v>16</v>
      </c>
      <c r="H41" s="8" t="s">
        <v>15</v>
      </c>
      <c r="I41" s="8" t="s">
        <v>15</v>
      </c>
      <c r="J41" s="8" t="s">
        <v>15</v>
      </c>
      <c r="K41" s="8" t="s">
        <v>15</v>
      </c>
      <c r="L41" s="8" t="s">
        <v>15</v>
      </c>
    </row>
    <row r="42">
      <c r="A42" s="11" t="s">
        <v>136</v>
      </c>
      <c r="B42" s="7">
        <v>0.9244810092812945</v>
      </c>
      <c r="C42" s="8" t="s">
        <v>66</v>
      </c>
      <c r="D42" s="8" t="s">
        <v>15</v>
      </c>
      <c r="E42" s="8" t="s">
        <v>15</v>
      </c>
      <c r="F42" s="8" t="s">
        <v>15</v>
      </c>
      <c r="G42" s="8" t="s">
        <v>15</v>
      </c>
      <c r="H42" s="8" t="s">
        <v>66</v>
      </c>
      <c r="I42" s="8" t="s">
        <v>15</v>
      </c>
      <c r="J42" s="8" t="s">
        <v>16</v>
      </c>
      <c r="K42" s="8" t="s">
        <v>66</v>
      </c>
      <c r="L42" s="8" t="s">
        <v>15</v>
      </c>
    </row>
    <row r="43">
      <c r="A43" s="11" t="s">
        <v>26</v>
      </c>
      <c r="B43" s="7">
        <v>0.9328811435853954</v>
      </c>
      <c r="C43" s="8" t="s">
        <v>15</v>
      </c>
      <c r="D43" s="8" t="s">
        <v>16</v>
      </c>
      <c r="E43" s="8" t="s">
        <v>16</v>
      </c>
      <c r="F43" s="8" t="s">
        <v>15</v>
      </c>
      <c r="G43" s="8" t="s">
        <v>16</v>
      </c>
      <c r="H43" s="8" t="s">
        <v>15</v>
      </c>
      <c r="I43" s="8" t="s">
        <v>16</v>
      </c>
      <c r="J43" s="8" t="s">
        <v>15</v>
      </c>
      <c r="K43" s="8" t="s">
        <v>16</v>
      </c>
      <c r="L43" s="8" t="s">
        <v>15</v>
      </c>
    </row>
    <row r="44">
      <c r="A44" s="11" t="s">
        <v>76</v>
      </c>
      <c r="B44" s="7">
        <v>0.9596197296978494</v>
      </c>
      <c r="C44" s="8" t="s">
        <v>15</v>
      </c>
      <c r="D44" s="8" t="s">
        <v>16</v>
      </c>
      <c r="E44" s="8" t="s">
        <v>16</v>
      </c>
      <c r="F44" s="8" t="s">
        <v>15</v>
      </c>
      <c r="G44" s="8" t="s">
        <v>16</v>
      </c>
      <c r="H44" s="8" t="s">
        <v>16</v>
      </c>
      <c r="I44" s="8" t="s">
        <v>16</v>
      </c>
      <c r="J44" s="8" t="s">
        <v>16</v>
      </c>
      <c r="K44" s="8" t="s">
        <v>15</v>
      </c>
      <c r="L44" s="8" t="s">
        <v>15</v>
      </c>
    </row>
    <row r="45">
      <c r="A45" s="11" t="s">
        <v>95</v>
      </c>
      <c r="B45" s="8">
        <v>0.9824796149</v>
      </c>
      <c r="J45" s="8" t="s">
        <v>15</v>
      </c>
      <c r="K45" s="8" t="s">
        <v>15</v>
      </c>
      <c r="L45" s="8" t="s">
        <v>16</v>
      </c>
    </row>
    <row r="46">
      <c r="A46" s="6" t="s">
        <v>61</v>
      </c>
      <c r="B46" s="7">
        <v>0.9914278934296715</v>
      </c>
      <c r="C46" s="8" t="s">
        <v>15</v>
      </c>
      <c r="D46" s="8" t="s">
        <v>16</v>
      </c>
      <c r="E46" s="8" t="s">
        <v>16</v>
      </c>
      <c r="F46" s="8" t="s">
        <v>15</v>
      </c>
      <c r="G46" s="8" t="s">
        <v>16</v>
      </c>
      <c r="I46" s="8" t="s">
        <v>15</v>
      </c>
      <c r="J46" s="8" t="s">
        <v>16</v>
      </c>
      <c r="L46" s="8" t="s">
        <v>15</v>
      </c>
    </row>
    <row r="49">
      <c r="B49" s="8" t="s">
        <v>137</v>
      </c>
      <c r="C49" s="8" t="s">
        <v>138</v>
      </c>
    </row>
    <row r="50">
      <c r="A50" s="9" t="s">
        <v>139</v>
      </c>
      <c r="B50" s="8" t="s">
        <v>140</v>
      </c>
      <c r="C50" s="8" t="s">
        <v>141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3"/>
    </row>
    <row r="3">
      <c r="A3" s="4" t="s">
        <v>1</v>
      </c>
      <c r="B3" s="5" t="s">
        <v>2</v>
      </c>
      <c r="C3" s="5" t="s">
        <v>3</v>
      </c>
      <c r="D3" s="5" t="s">
        <v>4</v>
      </c>
      <c r="E3" s="5" t="s">
        <v>5</v>
      </c>
      <c r="F3" s="5" t="s">
        <v>6</v>
      </c>
      <c r="G3" s="5" t="s">
        <v>7</v>
      </c>
      <c r="H3" s="5" t="s">
        <v>8</v>
      </c>
      <c r="I3" s="5" t="s">
        <v>9</v>
      </c>
      <c r="J3" s="5" t="s">
        <v>10</v>
      </c>
      <c r="K3" s="5" t="s">
        <v>11</v>
      </c>
      <c r="L3" s="5" t="s">
        <v>12</v>
      </c>
    </row>
    <row r="4">
      <c r="A4" s="11" t="s">
        <v>26</v>
      </c>
      <c r="B4" s="7">
        <v>0.007293603103993851</v>
      </c>
      <c r="C4" s="8" t="s">
        <v>15</v>
      </c>
      <c r="D4" s="8" t="s">
        <v>16</v>
      </c>
      <c r="E4" s="8" t="s">
        <v>15</v>
      </c>
      <c r="G4" s="8" t="s">
        <v>15</v>
      </c>
      <c r="H4" s="8" t="s">
        <v>16</v>
      </c>
      <c r="I4" s="8" t="s">
        <v>16</v>
      </c>
      <c r="J4" s="8" t="s">
        <v>15</v>
      </c>
      <c r="K4" s="8" t="s">
        <v>16</v>
      </c>
      <c r="L4" s="8" t="s">
        <v>15</v>
      </c>
    </row>
    <row r="5">
      <c r="A5" s="11" t="s">
        <v>44</v>
      </c>
      <c r="B5" s="7">
        <v>0.04686323161366823</v>
      </c>
      <c r="C5" s="8" t="s">
        <v>15</v>
      </c>
      <c r="D5" s="8" t="s">
        <v>15</v>
      </c>
      <c r="E5" s="8" t="s">
        <v>16</v>
      </c>
      <c r="F5" s="8" t="s">
        <v>15</v>
      </c>
      <c r="G5" s="8" t="s">
        <v>16</v>
      </c>
      <c r="H5" s="8" t="s">
        <v>16</v>
      </c>
      <c r="I5" s="8" t="s">
        <v>15</v>
      </c>
      <c r="J5" s="8" t="s">
        <v>15</v>
      </c>
      <c r="K5" s="8" t="s">
        <v>15</v>
      </c>
      <c r="L5" s="8" t="s">
        <v>15</v>
      </c>
    </row>
    <row r="6">
      <c r="A6" s="11" t="s">
        <v>61</v>
      </c>
      <c r="B6" s="7">
        <v>0.07084987377538454</v>
      </c>
      <c r="C6" s="8" t="s">
        <v>15</v>
      </c>
      <c r="D6" s="8" t="s">
        <v>66</v>
      </c>
      <c r="E6" s="8" t="s">
        <v>66</v>
      </c>
      <c r="F6" s="8" t="s">
        <v>15</v>
      </c>
      <c r="G6" s="8" t="s">
        <v>15</v>
      </c>
      <c r="H6" s="8" t="s">
        <v>16</v>
      </c>
      <c r="I6" s="8" t="s">
        <v>16</v>
      </c>
      <c r="J6" s="8" t="s">
        <v>15</v>
      </c>
      <c r="K6" s="8" t="s">
        <v>16</v>
      </c>
    </row>
    <row r="7">
      <c r="A7" s="11" t="s">
        <v>76</v>
      </c>
      <c r="B7" s="7">
        <v>0.07705046599638876</v>
      </c>
      <c r="C7" s="8" t="s">
        <v>16</v>
      </c>
      <c r="D7" s="8" t="s">
        <v>16</v>
      </c>
      <c r="E7" s="8" t="s">
        <v>15</v>
      </c>
      <c r="F7" s="8" t="s">
        <v>16</v>
      </c>
      <c r="G7" s="8" t="s">
        <v>15</v>
      </c>
      <c r="H7" s="8" t="s">
        <v>16</v>
      </c>
      <c r="I7" s="8" t="s">
        <v>16</v>
      </c>
      <c r="J7" s="8" t="s">
        <v>15</v>
      </c>
      <c r="K7" s="8" t="s">
        <v>15</v>
      </c>
      <c r="L7" s="8" t="s">
        <v>15</v>
      </c>
    </row>
    <row r="8">
      <c r="A8" s="11" t="s">
        <v>88</v>
      </c>
      <c r="B8" s="7">
        <v>0.11048649943565736</v>
      </c>
      <c r="C8" s="8" t="s">
        <v>16</v>
      </c>
      <c r="D8" s="8" t="s">
        <v>15</v>
      </c>
      <c r="E8" s="8" t="s">
        <v>15</v>
      </c>
      <c r="F8" s="8" t="s">
        <v>16</v>
      </c>
      <c r="G8" s="8" t="s">
        <v>15</v>
      </c>
      <c r="H8" s="8" t="s">
        <v>15</v>
      </c>
      <c r="I8" s="8" t="s">
        <v>15</v>
      </c>
      <c r="J8" s="8" t="s">
        <v>15</v>
      </c>
      <c r="K8" s="8" t="s">
        <v>15</v>
      </c>
      <c r="L8" s="8" t="s">
        <v>16</v>
      </c>
    </row>
    <row r="9">
      <c r="A9" s="11" t="s">
        <v>91</v>
      </c>
      <c r="B9" s="7">
        <v>0.12790664238076077</v>
      </c>
    </row>
    <row r="10">
      <c r="A10" s="11" t="s">
        <v>92</v>
      </c>
      <c r="B10" s="7">
        <v>0.1401824357051662</v>
      </c>
      <c r="D10" s="8" t="s">
        <v>15</v>
      </c>
      <c r="E10" s="8" t="s">
        <v>16</v>
      </c>
      <c r="F10" s="8" t="s">
        <v>16</v>
      </c>
      <c r="G10" s="8" t="s">
        <v>15</v>
      </c>
      <c r="H10" s="8" t="s">
        <v>16</v>
      </c>
      <c r="I10" s="8" t="s">
        <v>15</v>
      </c>
      <c r="J10" s="8" t="s">
        <v>15</v>
      </c>
      <c r="K10" s="8" t="s">
        <v>15</v>
      </c>
      <c r="L10" s="8" t="s">
        <v>15</v>
      </c>
    </row>
    <row r="11">
      <c r="A11" s="11" t="s">
        <v>93</v>
      </c>
      <c r="B11" s="7">
        <v>0.1671998257189069</v>
      </c>
      <c r="C11" s="8" t="s">
        <v>15</v>
      </c>
      <c r="D11" s="8" t="s">
        <v>16</v>
      </c>
      <c r="E11" s="8" t="s">
        <v>15</v>
      </c>
      <c r="F11" s="8" t="s">
        <v>15</v>
      </c>
      <c r="G11" s="8" t="s">
        <v>15</v>
      </c>
      <c r="H11" s="8" t="s">
        <v>16</v>
      </c>
      <c r="I11" s="8" t="s">
        <v>16</v>
      </c>
      <c r="J11" s="8" t="s">
        <v>15</v>
      </c>
      <c r="L11" s="8" t="s">
        <v>15</v>
      </c>
    </row>
    <row r="12">
      <c r="A12" s="11" t="s">
        <v>95</v>
      </c>
      <c r="B12" s="7">
        <v>0.16731447674651345</v>
      </c>
      <c r="C12" s="8" t="s">
        <v>15</v>
      </c>
      <c r="D12" s="8" t="s">
        <v>16</v>
      </c>
      <c r="E12" s="8" t="s">
        <v>16</v>
      </c>
      <c r="F12" s="8" t="s">
        <v>15</v>
      </c>
      <c r="G12" s="8" t="s">
        <v>15</v>
      </c>
      <c r="H12" s="8" t="s">
        <v>16</v>
      </c>
      <c r="I12" s="8" t="s">
        <v>16</v>
      </c>
      <c r="J12" s="8" t="s">
        <v>15</v>
      </c>
      <c r="K12" s="8" t="s">
        <v>15</v>
      </c>
      <c r="L12" s="8" t="s">
        <v>16</v>
      </c>
    </row>
    <row r="13">
      <c r="A13" s="11" t="s">
        <v>94</v>
      </c>
      <c r="B13" s="7">
        <v>0.2031641720675752</v>
      </c>
      <c r="C13" s="8" t="s">
        <v>15</v>
      </c>
      <c r="D13" s="8" t="s">
        <v>16</v>
      </c>
      <c r="E13" s="8" t="s">
        <v>16</v>
      </c>
      <c r="F13" s="8" t="s">
        <v>15</v>
      </c>
      <c r="G13" s="8" t="s">
        <v>15</v>
      </c>
      <c r="H13" s="8" t="s">
        <v>16</v>
      </c>
      <c r="I13" s="8" t="s">
        <v>16</v>
      </c>
      <c r="J13" s="8" t="s">
        <v>15</v>
      </c>
      <c r="K13" s="8" t="s">
        <v>15</v>
      </c>
      <c r="L13" s="8" t="s">
        <v>16</v>
      </c>
    </row>
    <row r="14">
      <c r="A14" s="11" t="s">
        <v>99</v>
      </c>
      <c r="B14" s="7">
        <v>0.21371423910227305</v>
      </c>
      <c r="C14" s="8" t="s">
        <v>15</v>
      </c>
      <c r="D14" s="8" t="s">
        <v>16</v>
      </c>
      <c r="E14" s="8" t="s">
        <v>15</v>
      </c>
      <c r="F14" s="8" t="s">
        <v>15</v>
      </c>
      <c r="G14" s="8" t="s">
        <v>15</v>
      </c>
      <c r="H14" s="8" t="s">
        <v>16</v>
      </c>
      <c r="I14" s="8" t="s">
        <v>16</v>
      </c>
      <c r="J14" s="8" t="s">
        <v>15</v>
      </c>
      <c r="K14" s="8" t="s">
        <v>15</v>
      </c>
      <c r="L14" s="8" t="s">
        <v>15</v>
      </c>
    </row>
    <row r="15">
      <c r="A15" s="11" t="s">
        <v>101</v>
      </c>
      <c r="B15" s="7">
        <v>0.2209155105792341</v>
      </c>
      <c r="C15" s="8" t="s">
        <v>15</v>
      </c>
      <c r="D15" s="8" t="s">
        <v>16</v>
      </c>
      <c r="E15" s="8" t="s">
        <v>15</v>
      </c>
      <c r="F15" s="8" t="s">
        <v>15</v>
      </c>
      <c r="G15" s="8" t="s">
        <v>15</v>
      </c>
      <c r="H15" s="8" t="s">
        <v>16</v>
      </c>
      <c r="I15" s="8" t="s">
        <v>16</v>
      </c>
      <c r="J15" s="8" t="s">
        <v>15</v>
      </c>
      <c r="K15" s="8" t="s">
        <v>15</v>
      </c>
      <c r="L15" s="8" t="s">
        <v>16</v>
      </c>
    </row>
    <row r="16">
      <c r="A16" s="11" t="s">
        <v>104</v>
      </c>
      <c r="B16" s="7">
        <v>0.2703076648707706</v>
      </c>
      <c r="C16" s="8" t="s">
        <v>15</v>
      </c>
      <c r="D16" s="8" t="s">
        <v>15</v>
      </c>
      <c r="E16" s="8" t="s">
        <v>15</v>
      </c>
      <c r="F16" s="8" t="s">
        <v>16</v>
      </c>
      <c r="G16" s="8" t="s">
        <v>15</v>
      </c>
      <c r="H16" s="8" t="s">
        <v>16</v>
      </c>
      <c r="I16" s="8" t="s">
        <v>16</v>
      </c>
      <c r="J16" s="8" t="s">
        <v>15</v>
      </c>
      <c r="K16" s="8" t="s">
        <v>15</v>
      </c>
      <c r="L16" s="8" t="s">
        <v>16</v>
      </c>
    </row>
    <row r="17">
      <c r="A17" s="11" t="s">
        <v>69</v>
      </c>
      <c r="B17" s="7">
        <v>0.29939041674448963</v>
      </c>
      <c r="C17" s="8" t="s">
        <v>15</v>
      </c>
      <c r="D17" s="8" t="s">
        <v>19</v>
      </c>
      <c r="E17" s="8" t="s">
        <v>15</v>
      </c>
      <c r="F17" s="8" t="s">
        <v>15</v>
      </c>
      <c r="H17" s="8" t="s">
        <v>16</v>
      </c>
      <c r="I17" s="8" t="s">
        <v>16</v>
      </c>
      <c r="J17" s="8" t="s">
        <v>15</v>
      </c>
      <c r="K17" s="8" t="s">
        <v>15</v>
      </c>
      <c r="L17" s="8" t="s">
        <v>16</v>
      </c>
    </row>
    <row r="18">
      <c r="A18" s="11" t="s">
        <v>107</v>
      </c>
      <c r="B18" s="7">
        <v>0.34327104469937386</v>
      </c>
      <c r="C18" s="8" t="s">
        <v>15</v>
      </c>
      <c r="D18" s="8" t="s">
        <v>15</v>
      </c>
      <c r="E18" s="8" t="s">
        <v>15</v>
      </c>
      <c r="F18" s="8" t="s">
        <v>16</v>
      </c>
      <c r="G18" s="8" t="s">
        <v>15</v>
      </c>
      <c r="H18" s="8" t="s">
        <v>15</v>
      </c>
      <c r="I18" s="8" t="s">
        <v>16</v>
      </c>
      <c r="J18" s="8" t="s">
        <v>15</v>
      </c>
      <c r="K18" s="8" t="s">
        <v>15</v>
      </c>
    </row>
    <row r="19">
      <c r="A19" s="11" t="s">
        <v>13</v>
      </c>
      <c r="B19" s="7">
        <v>0.36864345548673827</v>
      </c>
      <c r="C19" s="8" t="s">
        <v>16</v>
      </c>
      <c r="D19" s="8" t="s">
        <v>15</v>
      </c>
      <c r="E19" s="8" t="s">
        <v>15</v>
      </c>
      <c r="F19" s="8" t="s">
        <v>16</v>
      </c>
      <c r="G19" s="8" t="s">
        <v>15</v>
      </c>
      <c r="H19" s="8" t="s">
        <v>16</v>
      </c>
      <c r="I19" s="8" t="s">
        <v>15</v>
      </c>
      <c r="J19" s="8" t="s">
        <v>16</v>
      </c>
      <c r="K19" s="8" t="s">
        <v>15</v>
      </c>
      <c r="L19" s="8" t="s">
        <v>16</v>
      </c>
    </row>
    <row r="20">
      <c r="A20" s="11" t="s">
        <v>89</v>
      </c>
      <c r="B20" s="7">
        <v>0.40496612892422634</v>
      </c>
      <c r="C20" s="8" t="s">
        <v>15</v>
      </c>
      <c r="D20" s="8" t="s">
        <v>16</v>
      </c>
      <c r="E20" s="8" t="s">
        <v>15</v>
      </c>
      <c r="F20" s="8" t="s">
        <v>15</v>
      </c>
      <c r="G20" s="8" t="s">
        <v>16</v>
      </c>
      <c r="H20" s="8" t="s">
        <v>15</v>
      </c>
      <c r="I20" s="8" t="s">
        <v>16</v>
      </c>
      <c r="J20" s="8" t="s">
        <v>66</v>
      </c>
      <c r="K20" s="8" t="s">
        <v>15</v>
      </c>
      <c r="L20" s="8" t="s">
        <v>16</v>
      </c>
    </row>
    <row r="21">
      <c r="A21" s="11" t="s">
        <v>98</v>
      </c>
      <c r="B21" s="7">
        <v>0.4454053940579319</v>
      </c>
      <c r="C21" s="8" t="s">
        <v>15</v>
      </c>
      <c r="D21" s="8" t="s">
        <v>15</v>
      </c>
      <c r="E21" s="8" t="s">
        <v>16</v>
      </c>
      <c r="F21" s="8" t="s">
        <v>15</v>
      </c>
      <c r="H21" s="8" t="s">
        <v>16</v>
      </c>
      <c r="I21" s="8" t="s">
        <v>15</v>
      </c>
      <c r="J21" s="8" t="s">
        <v>15</v>
      </c>
      <c r="K21" s="8" t="s">
        <v>15</v>
      </c>
      <c r="L21" s="8" t="s">
        <v>15</v>
      </c>
    </row>
    <row r="22">
      <c r="A22" s="6" t="s">
        <v>118</v>
      </c>
      <c r="B22" s="7">
        <v>0.47161150215408676</v>
      </c>
      <c r="D22" s="8" t="s">
        <v>15</v>
      </c>
      <c r="E22" s="8" t="s">
        <v>16</v>
      </c>
      <c r="F22" s="8" t="s">
        <v>16</v>
      </c>
      <c r="G22" s="8" t="s">
        <v>15</v>
      </c>
      <c r="H22" s="8" t="s">
        <v>15</v>
      </c>
      <c r="I22" s="8" t="s">
        <v>15</v>
      </c>
      <c r="J22" s="8" t="s">
        <v>15</v>
      </c>
      <c r="K22" s="8" t="s">
        <v>15</v>
      </c>
      <c r="L22" s="8" t="s">
        <v>15</v>
      </c>
    </row>
    <row r="25">
      <c r="A25" s="2"/>
      <c r="B25" s="3"/>
      <c r="C25" s="23"/>
      <c r="D25" s="23"/>
    </row>
    <row r="26">
      <c r="B26" s="3"/>
      <c r="C26" s="24"/>
    </row>
    <row r="27">
      <c r="A27" s="4" t="s">
        <v>113</v>
      </c>
      <c r="B27" s="5" t="s">
        <v>2</v>
      </c>
      <c r="C27" s="5" t="s">
        <v>114</v>
      </c>
      <c r="D27" s="5" t="s">
        <v>115</v>
      </c>
      <c r="E27" s="5" t="s">
        <v>116</v>
      </c>
      <c r="F27" s="5" t="s">
        <v>6</v>
      </c>
      <c r="G27" s="5" t="s">
        <v>7</v>
      </c>
      <c r="H27" s="5" t="s">
        <v>8</v>
      </c>
      <c r="I27" s="5" t="s">
        <v>9</v>
      </c>
      <c r="J27" s="5" t="s">
        <v>10</v>
      </c>
      <c r="K27" s="5" t="s">
        <v>11</v>
      </c>
      <c r="L27" s="5" t="s">
        <v>12</v>
      </c>
    </row>
    <row r="28">
      <c r="A28" s="6" t="s">
        <v>24</v>
      </c>
      <c r="B28" s="7">
        <v>0.47219707592536064</v>
      </c>
      <c r="C28" s="8" t="s">
        <v>16</v>
      </c>
      <c r="D28" s="8" t="s">
        <v>15</v>
      </c>
      <c r="E28" s="8" t="s">
        <v>16</v>
      </c>
      <c r="F28" s="8" t="s">
        <v>15</v>
      </c>
      <c r="G28" s="8" t="s">
        <v>16</v>
      </c>
      <c r="H28" s="8" t="s">
        <v>15</v>
      </c>
      <c r="I28" s="8" t="s">
        <v>15</v>
      </c>
      <c r="J28" s="8" t="s">
        <v>15</v>
      </c>
      <c r="K28" s="8" t="s">
        <v>15</v>
      </c>
      <c r="L28" s="8" t="s">
        <v>15</v>
      </c>
    </row>
    <row r="29">
      <c r="A29" s="11" t="s">
        <v>80</v>
      </c>
      <c r="B29" s="7">
        <v>0.536962515932347</v>
      </c>
      <c r="C29" s="8" t="s">
        <v>15</v>
      </c>
      <c r="D29" s="8" t="s">
        <v>16</v>
      </c>
      <c r="E29" s="8" t="s">
        <v>16</v>
      </c>
      <c r="F29" s="8" t="s">
        <v>15</v>
      </c>
      <c r="G29" s="8" t="s">
        <v>16</v>
      </c>
      <c r="H29" s="8" t="s">
        <v>16</v>
      </c>
      <c r="I29" s="8" t="s">
        <v>15</v>
      </c>
      <c r="J29" s="8" t="s">
        <v>15</v>
      </c>
      <c r="K29" s="8" t="s">
        <v>16</v>
      </c>
      <c r="L29" s="8" t="s">
        <v>15</v>
      </c>
    </row>
    <row r="30">
      <c r="A30" s="11" t="s">
        <v>106</v>
      </c>
      <c r="B30" s="7">
        <v>0.6151010640835198</v>
      </c>
      <c r="C30" s="8" t="s">
        <v>15</v>
      </c>
      <c r="D30" s="8" t="s">
        <v>16</v>
      </c>
      <c r="E30" s="8" t="s">
        <v>15</v>
      </c>
      <c r="F30" s="8" t="s">
        <v>15</v>
      </c>
      <c r="G30" s="8" t="s">
        <v>16</v>
      </c>
      <c r="H30" s="8" t="s">
        <v>15</v>
      </c>
      <c r="I30" s="8" t="s">
        <v>15</v>
      </c>
      <c r="J30" s="8" t="s">
        <v>15</v>
      </c>
      <c r="K30" s="8" t="s">
        <v>15</v>
      </c>
      <c r="L30" s="8" t="s">
        <v>15</v>
      </c>
    </row>
    <row r="31">
      <c r="A31" s="11" t="s">
        <v>39</v>
      </c>
      <c r="B31" s="7">
        <v>0.6737717711983966</v>
      </c>
      <c r="C31" s="8" t="s">
        <v>15</v>
      </c>
      <c r="D31" s="8" t="s">
        <v>16</v>
      </c>
      <c r="E31" s="8" t="s">
        <v>16</v>
      </c>
      <c r="F31" s="8" t="s">
        <v>15</v>
      </c>
      <c r="G31" s="8" t="s">
        <v>16</v>
      </c>
      <c r="H31" s="8" t="s">
        <v>16</v>
      </c>
      <c r="I31" s="8" t="s">
        <v>16</v>
      </c>
      <c r="J31" s="8" t="s">
        <v>15</v>
      </c>
      <c r="K31" s="8" t="s">
        <v>16</v>
      </c>
    </row>
    <row r="32">
      <c r="A32" s="11" t="s">
        <v>134</v>
      </c>
      <c r="B32" s="7">
        <v>0.7030274386313017</v>
      </c>
      <c r="C32" s="8" t="s">
        <v>16</v>
      </c>
      <c r="D32" s="8" t="s">
        <v>15</v>
      </c>
      <c r="E32" s="8" t="s">
        <v>15</v>
      </c>
      <c r="F32" s="8" t="s">
        <v>15</v>
      </c>
      <c r="G32" s="8" t="s">
        <v>16</v>
      </c>
      <c r="H32" s="8" t="s">
        <v>19</v>
      </c>
      <c r="I32" s="8" t="s">
        <v>16</v>
      </c>
      <c r="J32" s="8" t="s">
        <v>16</v>
      </c>
      <c r="K32" s="8" t="s">
        <v>16</v>
      </c>
      <c r="L32" s="8" t="s">
        <v>15</v>
      </c>
    </row>
    <row r="33">
      <c r="A33" s="11" t="s">
        <v>133</v>
      </c>
      <c r="B33" s="7">
        <v>0.7944175399089685</v>
      </c>
      <c r="C33" s="8" t="s">
        <v>15</v>
      </c>
      <c r="D33" s="8" t="s">
        <v>15</v>
      </c>
      <c r="E33" s="8" t="s">
        <v>15</v>
      </c>
      <c r="F33" s="8" t="s">
        <v>15</v>
      </c>
      <c r="G33" s="8" t="s">
        <v>15</v>
      </c>
      <c r="H33" s="8" t="s">
        <v>15</v>
      </c>
      <c r="I33" s="8" t="s">
        <v>15</v>
      </c>
      <c r="J33" s="8" t="s">
        <v>15</v>
      </c>
      <c r="K33" s="8" t="s">
        <v>15</v>
      </c>
      <c r="L33" s="8" t="s">
        <v>15</v>
      </c>
    </row>
    <row r="34">
      <c r="A34" s="11" t="s">
        <v>100</v>
      </c>
      <c r="B34" s="7">
        <v>0.8135258654857276</v>
      </c>
      <c r="C34" s="8" t="s">
        <v>15</v>
      </c>
      <c r="D34" s="8" t="s">
        <v>15</v>
      </c>
      <c r="E34" s="8" t="s">
        <v>16</v>
      </c>
      <c r="F34" s="8" t="s">
        <v>15</v>
      </c>
      <c r="H34" s="8" t="s">
        <v>16</v>
      </c>
      <c r="I34" s="8" t="s">
        <v>15</v>
      </c>
      <c r="J34" s="8" t="s">
        <v>15</v>
      </c>
      <c r="K34" s="8" t="s">
        <v>15</v>
      </c>
      <c r="L34" s="8" t="s">
        <v>15</v>
      </c>
    </row>
    <row r="35">
      <c r="A35" s="11" t="s">
        <v>90</v>
      </c>
      <c r="B35" s="7">
        <v>0.8368245950266269</v>
      </c>
      <c r="C35" s="8" t="s">
        <v>16</v>
      </c>
      <c r="D35" s="8" t="s">
        <v>19</v>
      </c>
      <c r="E35" s="8" t="s">
        <v>16</v>
      </c>
      <c r="H35" s="8" t="s">
        <v>15</v>
      </c>
      <c r="I35" s="8" t="s">
        <v>16</v>
      </c>
      <c r="J35" s="8" t="s">
        <v>15</v>
      </c>
      <c r="K35" s="8" t="s">
        <v>16</v>
      </c>
      <c r="L35" s="8" t="s">
        <v>15</v>
      </c>
    </row>
    <row r="36">
      <c r="A36" s="11" t="s">
        <v>49</v>
      </c>
      <c r="B36" s="7">
        <v>0.8456392605513948</v>
      </c>
      <c r="C36" s="8" t="s">
        <v>16</v>
      </c>
      <c r="D36" s="8" t="s">
        <v>16</v>
      </c>
      <c r="E36" s="8" t="s">
        <v>16</v>
      </c>
      <c r="F36" s="8" t="s">
        <v>15</v>
      </c>
      <c r="G36" s="8" t="s">
        <v>16</v>
      </c>
      <c r="H36" s="8" t="s">
        <v>16</v>
      </c>
      <c r="I36" s="8" t="s">
        <v>16</v>
      </c>
      <c r="J36" s="8" t="s">
        <v>15</v>
      </c>
      <c r="K36" s="8" t="s">
        <v>16</v>
      </c>
      <c r="L36" s="8" t="s">
        <v>16</v>
      </c>
    </row>
    <row r="37">
      <c r="A37" s="11" t="s">
        <v>97</v>
      </c>
      <c r="B37" s="7">
        <v>0.8465341263230047</v>
      </c>
      <c r="C37" s="8" t="s">
        <v>15</v>
      </c>
      <c r="D37" s="8" t="s">
        <v>15</v>
      </c>
      <c r="E37" s="8" t="s">
        <v>15</v>
      </c>
      <c r="F37" s="8" t="s">
        <v>15</v>
      </c>
      <c r="H37" s="8" t="s">
        <v>16</v>
      </c>
      <c r="I37" s="8" t="s">
        <v>15</v>
      </c>
      <c r="J37" s="8" t="s">
        <v>15</v>
      </c>
      <c r="K37" s="8" t="s">
        <v>15</v>
      </c>
      <c r="L37" s="8" t="s">
        <v>15</v>
      </c>
    </row>
    <row r="38">
      <c r="A38" s="11" t="s">
        <v>117</v>
      </c>
      <c r="B38" s="7">
        <v>0.8752485091397376</v>
      </c>
      <c r="D38" s="8" t="s">
        <v>16</v>
      </c>
      <c r="E38" s="8" t="s">
        <v>16</v>
      </c>
      <c r="F38" s="8" t="s">
        <v>15</v>
      </c>
      <c r="G38" s="8" t="s">
        <v>16</v>
      </c>
      <c r="H38" s="8" t="s">
        <v>15</v>
      </c>
      <c r="I38" s="8" t="s">
        <v>15</v>
      </c>
      <c r="J38" s="8" t="s">
        <v>15</v>
      </c>
      <c r="K38" s="8" t="s">
        <v>16</v>
      </c>
      <c r="L38" s="8" t="s">
        <v>15</v>
      </c>
    </row>
    <row r="39">
      <c r="A39" s="11" t="s">
        <v>122</v>
      </c>
      <c r="B39" s="7">
        <v>0.8900344879166543</v>
      </c>
      <c r="C39" s="8" t="s">
        <v>15</v>
      </c>
      <c r="D39" s="8" t="s">
        <v>16</v>
      </c>
      <c r="E39" s="8" t="s">
        <v>15</v>
      </c>
      <c r="F39" s="8" t="s">
        <v>15</v>
      </c>
      <c r="G39" s="8" t="s">
        <v>16</v>
      </c>
      <c r="H39" s="8" t="s">
        <v>16</v>
      </c>
      <c r="I39" s="8" t="s">
        <v>15</v>
      </c>
      <c r="J39" s="8" t="s">
        <v>15</v>
      </c>
      <c r="K39" s="8" t="s">
        <v>16</v>
      </c>
      <c r="L39" s="8" t="s">
        <v>15</v>
      </c>
    </row>
    <row r="40">
      <c r="A40" s="11" t="s">
        <v>110</v>
      </c>
      <c r="B40" s="7">
        <v>0.9118763782048754</v>
      </c>
      <c r="C40" s="8" t="s">
        <v>16</v>
      </c>
      <c r="D40" s="8" t="s">
        <v>15</v>
      </c>
      <c r="E40" s="8" t="s">
        <v>15</v>
      </c>
      <c r="F40" s="8" t="s">
        <v>15</v>
      </c>
      <c r="G40" s="8" t="s">
        <v>15</v>
      </c>
      <c r="H40" s="8" t="s">
        <v>15</v>
      </c>
      <c r="I40" s="8" t="s">
        <v>15</v>
      </c>
      <c r="J40" s="8" t="s">
        <v>15</v>
      </c>
      <c r="K40" s="8" t="s">
        <v>15</v>
      </c>
      <c r="L40" s="8" t="s">
        <v>15</v>
      </c>
    </row>
    <row r="41">
      <c r="A41" s="11" t="s">
        <v>119</v>
      </c>
      <c r="B41" s="7">
        <v>0.9264630126129295</v>
      </c>
      <c r="C41" s="8" t="s">
        <v>15</v>
      </c>
      <c r="D41" s="8" t="s">
        <v>16</v>
      </c>
      <c r="E41" s="8" t="s">
        <v>16</v>
      </c>
      <c r="F41" s="8" t="s">
        <v>15</v>
      </c>
      <c r="G41" s="8" t="s">
        <v>16</v>
      </c>
      <c r="H41" s="8" t="s">
        <v>19</v>
      </c>
      <c r="I41" s="8" t="s">
        <v>15</v>
      </c>
      <c r="J41" s="8" t="s">
        <v>15</v>
      </c>
      <c r="K41" s="8" t="s">
        <v>16</v>
      </c>
      <c r="L41" s="8" t="s">
        <v>15</v>
      </c>
    </row>
    <row r="42">
      <c r="A42" s="11" t="s">
        <v>136</v>
      </c>
      <c r="B42" s="7">
        <v>0.9348882734727779</v>
      </c>
      <c r="C42" s="8" t="s">
        <v>66</v>
      </c>
      <c r="D42" s="8" t="s">
        <v>66</v>
      </c>
      <c r="E42" s="8" t="s">
        <v>19</v>
      </c>
      <c r="F42" s="8" t="s">
        <v>16</v>
      </c>
      <c r="G42" s="8" t="s">
        <v>15</v>
      </c>
      <c r="H42" s="8" t="s">
        <v>16</v>
      </c>
      <c r="I42" s="8" t="s">
        <v>15</v>
      </c>
      <c r="J42" s="8" t="s">
        <v>15</v>
      </c>
      <c r="K42" s="8" t="s">
        <v>15</v>
      </c>
      <c r="L42" s="8" t="s">
        <v>15</v>
      </c>
    </row>
    <row r="43">
      <c r="A43" s="11" t="s">
        <v>105</v>
      </c>
      <c r="B43" s="7">
        <v>0.9371508895488925</v>
      </c>
      <c r="C43" s="8" t="s">
        <v>16</v>
      </c>
      <c r="D43" s="8" t="s">
        <v>15</v>
      </c>
      <c r="E43" s="8" t="s">
        <v>15</v>
      </c>
      <c r="G43" s="8" t="s">
        <v>15</v>
      </c>
      <c r="H43" s="8" t="s">
        <v>15</v>
      </c>
      <c r="I43" s="8" t="s">
        <v>16</v>
      </c>
      <c r="J43" s="8" t="s">
        <v>15</v>
      </c>
      <c r="K43" s="8" t="s">
        <v>15</v>
      </c>
      <c r="L43" s="8" t="s">
        <v>15</v>
      </c>
    </row>
    <row r="44">
      <c r="A44" s="11" t="s">
        <v>135</v>
      </c>
      <c r="B44" s="7">
        <v>0.9898407605274079</v>
      </c>
      <c r="C44" s="8" t="s">
        <v>142</v>
      </c>
      <c r="K44" s="8" t="s">
        <v>15</v>
      </c>
      <c r="L44" s="8" t="s">
        <v>15</v>
      </c>
    </row>
    <row r="45">
      <c r="A45" s="11" t="s">
        <v>103</v>
      </c>
      <c r="B45" s="7">
        <v>0.9962194967656196</v>
      </c>
      <c r="C45" s="8" t="s">
        <v>15</v>
      </c>
      <c r="D45" s="8" t="s">
        <v>16</v>
      </c>
      <c r="E45" s="8" t="s">
        <v>16</v>
      </c>
      <c r="F45" s="8" t="s">
        <v>15</v>
      </c>
      <c r="H45" s="8" t="s">
        <v>15</v>
      </c>
      <c r="I45" s="8" t="s">
        <v>16</v>
      </c>
      <c r="J45" s="8" t="s">
        <v>15</v>
      </c>
      <c r="K45" s="8" t="s">
        <v>16</v>
      </c>
      <c r="L45" s="8" t="s">
        <v>15</v>
      </c>
    </row>
    <row r="46">
      <c r="A46" s="11" t="s">
        <v>120</v>
      </c>
      <c r="B46" s="7">
        <v>0.9981657551440432</v>
      </c>
      <c r="C46" s="8" t="s">
        <v>15</v>
      </c>
      <c r="D46" s="8" t="s">
        <v>15</v>
      </c>
      <c r="E46" s="8" t="s">
        <v>15</v>
      </c>
      <c r="F46" s="8" t="s">
        <v>15</v>
      </c>
      <c r="G46" s="8" t="s">
        <v>16</v>
      </c>
      <c r="H46" s="8" t="s">
        <v>66</v>
      </c>
      <c r="I46" s="8" t="s">
        <v>16</v>
      </c>
      <c r="J46" s="8" t="s">
        <v>15</v>
      </c>
      <c r="K46" s="8" t="s">
        <v>15</v>
      </c>
      <c r="L46" s="8" t="s">
        <v>15</v>
      </c>
    </row>
    <row r="49">
      <c r="B49" s="8" t="s">
        <v>137</v>
      </c>
      <c r="C49" s="8" t="s">
        <v>138</v>
      </c>
    </row>
    <row r="50">
      <c r="A50" s="9" t="s">
        <v>139</v>
      </c>
      <c r="B50" s="8" t="s">
        <v>143</v>
      </c>
      <c r="C50" s="8" t="s">
        <v>144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14</v>
      </c>
      <c r="B1" s="8" t="s">
        <v>17</v>
      </c>
      <c r="C1" s="8" t="s">
        <v>18</v>
      </c>
      <c r="D1" s="8" t="s">
        <v>20</v>
      </c>
      <c r="E1" s="8" t="s">
        <v>22</v>
      </c>
      <c r="F1" s="8" t="s">
        <v>23</v>
      </c>
      <c r="G1" s="8" t="s">
        <v>25</v>
      </c>
      <c r="H1" s="8" t="s">
        <v>27</v>
      </c>
      <c r="I1" s="8" t="s">
        <v>28</v>
      </c>
      <c r="J1" s="8" t="s">
        <v>29</v>
      </c>
      <c r="K1" s="8" t="s">
        <v>30</v>
      </c>
      <c r="L1" s="8" t="s">
        <v>31</v>
      </c>
      <c r="M1" s="8" t="s">
        <v>32</v>
      </c>
      <c r="N1" s="8" t="s">
        <v>33</v>
      </c>
      <c r="O1" s="8" t="s">
        <v>34</v>
      </c>
      <c r="P1" s="8" t="s">
        <v>35</v>
      </c>
      <c r="Q1" s="8" t="s">
        <v>36</v>
      </c>
      <c r="R1" s="8" t="s">
        <v>37</v>
      </c>
      <c r="S1" s="8" t="s">
        <v>38</v>
      </c>
      <c r="T1" s="8" t="s">
        <v>40</v>
      </c>
      <c r="U1" s="8" t="s">
        <v>41</v>
      </c>
      <c r="V1" s="8" t="s">
        <v>42</v>
      </c>
      <c r="W1" s="8" t="s">
        <v>43</v>
      </c>
      <c r="X1" s="8" t="s">
        <v>45</v>
      </c>
      <c r="Y1" s="8" t="s">
        <v>46</v>
      </c>
      <c r="Z1" s="8" t="s">
        <v>48</v>
      </c>
      <c r="AA1" s="8" t="s">
        <v>50</v>
      </c>
      <c r="AB1" s="8" t="s">
        <v>51</v>
      </c>
      <c r="AC1" s="8" t="s">
        <v>53</v>
      </c>
      <c r="AD1" s="8" t="s">
        <v>54</v>
      </c>
      <c r="AE1" s="8" t="s">
        <v>56</v>
      </c>
      <c r="AF1" s="8" t="s">
        <v>58</v>
      </c>
      <c r="AG1" s="8" t="s">
        <v>60</v>
      </c>
      <c r="AH1" s="8" t="s">
        <v>63</v>
      </c>
      <c r="AI1" s="8" t="s">
        <v>67</v>
      </c>
      <c r="AJ1" s="8" t="s">
        <v>70</v>
      </c>
      <c r="AK1" s="8" t="s">
        <v>71</v>
      </c>
      <c r="AL1" s="8" t="s">
        <v>73</v>
      </c>
      <c r="AM1" s="8" t="s">
        <v>74</v>
      </c>
      <c r="AN1" s="8" t="s">
        <v>75</v>
      </c>
      <c r="AO1" s="8" t="s">
        <v>77</v>
      </c>
      <c r="AP1" s="8" t="s">
        <v>78</v>
      </c>
      <c r="AQ1" s="8" t="s">
        <v>81</v>
      </c>
      <c r="AR1" s="8" t="s">
        <v>82</v>
      </c>
      <c r="AS1" s="8" t="s">
        <v>84</v>
      </c>
      <c r="AT1" s="8" t="s">
        <v>85</v>
      </c>
      <c r="AU1" s="8" t="s">
        <v>86</v>
      </c>
      <c r="AV1" s="8" t="s">
        <v>87</v>
      </c>
    </row>
    <row r="2">
      <c r="A2" s="8" t="s">
        <v>49</v>
      </c>
      <c r="B2" s="8" t="str">
        <f>IF(COUNTIF('Fieldwork W1'!$A$4:$A$22, A2) &gt; 0, "1", IF(COUNTIF('Fieldwork W1'!$A$28:$A$46, A2) &gt; 0, "2", ""))</f>
        <v>1</v>
      </c>
      <c r="C2" s="8" t="str">
        <f>IF(COUNTIF('Fieldwork W2'!$A$4:$A$22, A2) &gt; 0, "1", IF(COUNTIF('Fieldwork W2'!$A$28:$A$46, A2) &gt; 0, "2", ""))</f>
        <v>2</v>
      </c>
      <c r="D2" s="8" t="str">
        <f t="shared" ref="D2:D39" si="1">B2&amp;C2</f>
        <v>12</v>
      </c>
      <c r="E2" s="8" t="s">
        <v>15</v>
      </c>
      <c r="F2" s="8" t="s">
        <v>16</v>
      </c>
      <c r="G2" s="8" t="s">
        <v>16</v>
      </c>
      <c r="H2" s="8" t="s">
        <v>16</v>
      </c>
      <c r="I2" s="8" t="s">
        <v>15</v>
      </c>
      <c r="J2" s="8" t="s">
        <v>16</v>
      </c>
      <c r="K2" s="8" t="s">
        <v>15</v>
      </c>
      <c r="L2" s="8" t="s">
        <v>16</v>
      </c>
      <c r="M2" s="8" t="s">
        <v>15</v>
      </c>
      <c r="N2" s="8" t="s">
        <v>16</v>
      </c>
      <c r="O2" s="7" t="s">
        <v>16</v>
      </c>
      <c r="P2" s="7" t="s">
        <v>16</v>
      </c>
      <c r="Q2" s="7" t="s">
        <v>16</v>
      </c>
      <c r="R2" s="7" t="s">
        <v>15</v>
      </c>
      <c r="S2" s="7" t="s">
        <v>16</v>
      </c>
      <c r="T2" s="7" t="s">
        <v>16</v>
      </c>
      <c r="U2" s="7" t="s">
        <v>16</v>
      </c>
      <c r="V2" s="7" t="s">
        <v>15</v>
      </c>
      <c r="W2" s="7" t="s">
        <v>16</v>
      </c>
      <c r="X2" s="7" t="s">
        <v>16</v>
      </c>
      <c r="Y2" s="28">
        <f t="shared" ref="Y2:Y39" si="2">(COUNTIF(E2:X2,"A")+COUNTIF(E2:X2,"B"))/20</f>
        <v>1</v>
      </c>
      <c r="Z2" s="7">
        <f>IF(ISBLANK(E2),"",IF(E2=Truth!B$23,1,0))
</f>
        <v>1</v>
      </c>
      <c r="AA2" s="7">
        <f>IF(ISBLANK(F2),"",IF(F2=Truth!C$23,1,0))
</f>
        <v>1</v>
      </c>
      <c r="AB2" s="7">
        <f>IF(ISBLANK(G2),"",IF(G2=Truth!D$23,1,0))
</f>
        <v>1</v>
      </c>
      <c r="AC2" s="7">
        <f>IF(ISBLANK(H2),"",IF(H2=Truth!E$23,1,0))
</f>
        <v>1</v>
      </c>
      <c r="AD2" s="7">
        <f>IF(ISBLANK(I2),"",IF(I2=Truth!F$23,1,0))
</f>
        <v>1</v>
      </c>
      <c r="AE2" s="7">
        <f>IF(ISBLANK(J2),"",IF(J2=Truth!G$23,1,0))
</f>
        <v>0</v>
      </c>
      <c r="AF2" s="7">
        <f>IF(ISBLANK(K2),"",IF(K2=Truth!H$23,1,0))
</f>
        <v>1</v>
      </c>
      <c r="AG2" s="7">
        <f>IF(ISBLANK(L2),"",IF(L2=Truth!I$23,1,0))
</f>
        <v>1</v>
      </c>
      <c r="AH2" s="7">
        <f>IF(ISBLANK(M2),"",IF(M2=Truth!J$23,1,0))
</f>
        <v>1</v>
      </c>
      <c r="AI2" s="7">
        <f>IF(ISBLANK(N2),"",IF(N2=Truth!K$23,1,0))
</f>
        <v>1</v>
      </c>
      <c r="AJ2" s="7">
        <f>IF(ISBLANK(O2),"",IF(O2=Truth!L$23,1,0))
</f>
        <v>1</v>
      </c>
      <c r="AK2" s="7">
        <f>IF(ISBLANK(P2),"",IF(P2=Truth!M$23,1,0))
</f>
        <v>0</v>
      </c>
      <c r="AL2" s="7">
        <f>IF(ISBLANK(Q2),"",IF(Q2=Truth!N$23,1,0))
</f>
        <v>1</v>
      </c>
      <c r="AM2" s="7">
        <f>IF(ISBLANK(R2),"",IF(R2=Truth!O$23,1,0))
</f>
        <v>1</v>
      </c>
      <c r="AN2" s="7">
        <f>IF(ISBLANK(S2),"",IF(S2=Truth!P$23,1,0))
</f>
        <v>1</v>
      </c>
      <c r="AO2" s="7">
        <f>IF(ISBLANK(T2),"",IF(T2=Truth!Q$23,1,0))
</f>
        <v>0</v>
      </c>
      <c r="AP2" s="7">
        <f>IF(ISBLANK(U2),"",IF(U2=Truth!R$23,1,0))
</f>
        <v>1</v>
      </c>
      <c r="AQ2" s="7">
        <f>IF(ISBLANK(V2),"",IF(V2=Truth!S$23,1,0))
</f>
        <v>1</v>
      </c>
      <c r="AR2" s="7">
        <f>IF(ISBLANK(W2),"",IF(W2=Truth!T$23,1,0))
</f>
        <v>1</v>
      </c>
      <c r="AS2" s="7">
        <f>IF(ISBLANK(X2),"",IF(X2=Truth!U$23,1,0))
</f>
        <v>0</v>
      </c>
      <c r="AT2" s="7">
        <f t="shared" ref="AT2:AT39" si="3">AVERAGE(Z2:AS2)</f>
        <v>0.8</v>
      </c>
      <c r="AU2" s="7">
        <f t="array" ref="AU2">SUM(N(LEN(TRIM(Z2:AS2))&gt;0))</f>
        <v>20</v>
      </c>
      <c r="AV2" s="7">
        <f t="shared" ref="AV2:AV39" si="4">sum(Z2:AS2)</f>
        <v>16</v>
      </c>
    </row>
    <row r="3">
      <c r="A3" s="8" t="s">
        <v>134</v>
      </c>
      <c r="B3" s="8" t="str">
        <f>IF(COUNTIF('Fieldwork W1'!$A$4:$A$22, A3) &gt; 0, "1", IF(COUNTIF('Fieldwork W1'!$A$28:$A$46, A3) &gt; 0, "2", ""))</f>
        <v>2</v>
      </c>
      <c r="C3" s="8" t="str">
        <f>IF(COUNTIF('Fieldwork W2'!$A$4:$A$22, A3) &gt; 0, "1", IF(COUNTIF('Fieldwork W2'!$A$28:$A$46, A3) &gt; 0, "2", ""))</f>
        <v>2</v>
      </c>
      <c r="D3" s="8" t="str">
        <f t="shared" si="1"/>
        <v>22</v>
      </c>
      <c r="E3" s="8" t="s">
        <v>15</v>
      </c>
      <c r="F3" s="8" t="s">
        <v>16</v>
      </c>
      <c r="G3" s="8" t="s">
        <v>16</v>
      </c>
      <c r="H3" s="8" t="s">
        <v>15</v>
      </c>
      <c r="I3" s="8" t="s">
        <v>16</v>
      </c>
      <c r="J3" s="8" t="s">
        <v>15</v>
      </c>
      <c r="K3" s="8" t="s">
        <v>16</v>
      </c>
      <c r="L3" s="8" t="s">
        <v>15</v>
      </c>
      <c r="M3" s="8" t="s">
        <v>15</v>
      </c>
      <c r="N3" s="8" t="s">
        <v>16</v>
      </c>
      <c r="O3" s="7" t="s">
        <v>16</v>
      </c>
      <c r="P3" s="7" t="s">
        <v>15</v>
      </c>
      <c r="Q3" s="7" t="s">
        <v>15</v>
      </c>
      <c r="R3" s="7" t="s">
        <v>15</v>
      </c>
      <c r="S3" s="7" t="s">
        <v>16</v>
      </c>
      <c r="U3" s="7" t="s">
        <v>16</v>
      </c>
      <c r="V3" s="7" t="s">
        <v>16</v>
      </c>
      <c r="W3" s="7" t="s">
        <v>16</v>
      </c>
      <c r="X3" s="7" t="s">
        <v>15</v>
      </c>
      <c r="Y3" s="28">
        <f t="shared" si="2"/>
        <v>0.95</v>
      </c>
      <c r="Z3" s="7">
        <f>IF(ISBLANK(E3),"",IF(E3=Truth!B$25,1,0))
</f>
        <v>1</v>
      </c>
      <c r="AA3" s="7">
        <f>IF(ISBLANK(F3),"",IF(F3=Truth!C$25,1,0))
</f>
        <v>1</v>
      </c>
      <c r="AB3" s="7">
        <f>IF(ISBLANK(G3),"",IF(G3=Truth!D$25,1,0))
</f>
        <v>1</v>
      </c>
      <c r="AC3" s="7">
        <f>IF(ISBLANK(H3),"",IF(H3=Truth!E$25,1,0))
</f>
        <v>0</v>
      </c>
      <c r="AD3" s="7">
        <f>IF(ISBLANK(I3),"",IF(I3=Truth!F$25,1,0))
</f>
        <v>0</v>
      </c>
      <c r="AE3" s="7">
        <f>IF(ISBLANK(J3),"",IF(J3=Truth!G$25,1,0))
</f>
        <v>1</v>
      </c>
      <c r="AF3" s="7">
        <f>IF(ISBLANK(K3),"",IF(K3=Truth!H$25,1,0))
</f>
        <v>1</v>
      </c>
      <c r="AG3" s="7">
        <f>IF(ISBLANK(L3),"",IF(L3=Truth!I$25,1,0))
</f>
        <v>0</v>
      </c>
      <c r="AH3" s="7">
        <f>IF(ISBLANK(M3),"",IF(M3=Truth!J$25,1,0))
</f>
        <v>1</v>
      </c>
      <c r="AI3" s="7">
        <f>IF(ISBLANK(N3),"",IF(N3=Truth!K$25,1,0))
</f>
        <v>0</v>
      </c>
      <c r="AJ3" s="7">
        <f>IF(ISBLANK(O3),"",IF(O3=Truth!L$25,1,0))
</f>
        <v>1</v>
      </c>
      <c r="AK3" s="7">
        <f>IF(ISBLANK(P3),"",IF(P3=Truth!M$25,1,0))
</f>
        <v>1</v>
      </c>
      <c r="AL3" s="7">
        <f>IF(ISBLANK(Q3),"",IF(Q3=Truth!N$25,1,0))
</f>
        <v>0</v>
      </c>
      <c r="AM3" s="7">
        <f>IF(ISBLANK(R3),"",IF(R3=Truth!O$25,1,0))
</f>
        <v>1</v>
      </c>
      <c r="AN3" s="7">
        <f>IF(ISBLANK(S3),"",IF(S3=Truth!P$25,1,0))
</f>
        <v>1</v>
      </c>
      <c r="AO3" s="7" t="str">
        <f>IF(ISBLANK(T3),"",IF(T3=Truth!Q$25,1,0))
</f>
        <v/>
      </c>
      <c r="AP3" s="7">
        <f>IF(ISBLANK(U3),"",IF(U3=Truth!R$25,1,0))
</f>
        <v>1</v>
      </c>
      <c r="AQ3" s="7">
        <f>IF(ISBLANK(V3),"",IF(V3=Truth!S$25,1,0))
</f>
        <v>0</v>
      </c>
      <c r="AR3" s="7">
        <f>IF(ISBLANK(W3),"",IF(W3=Truth!T$25,1,0))
</f>
        <v>1</v>
      </c>
      <c r="AS3" s="7">
        <f>IF(ISBLANK(X3),"",IF(X3=Truth!U$25,1,0))
</f>
        <v>1</v>
      </c>
      <c r="AT3" s="7">
        <f t="shared" si="3"/>
        <v>0.6842105263</v>
      </c>
      <c r="AU3" s="7">
        <f t="array" ref="AU3">SUM(N(LEN(TRIM(Z3:AS3))&gt;0))</f>
        <v>19</v>
      </c>
      <c r="AV3" s="7">
        <f t="shared" si="4"/>
        <v>13</v>
      </c>
    </row>
    <row r="4">
      <c r="A4" s="8" t="s">
        <v>118</v>
      </c>
      <c r="B4" s="8" t="str">
        <f>IF(COUNTIF('Fieldwork W1'!$A$4:$A$22, A4) &gt; 0, "1", IF(COUNTIF('Fieldwork W1'!$A$28:$A$46, A4) &gt; 0, "2", ""))</f>
        <v>2</v>
      </c>
      <c r="C4" s="8" t="str">
        <f>IF(COUNTIF('Fieldwork W2'!$A$4:$A$22, A4) &gt; 0, "1", IF(COUNTIF('Fieldwork W2'!$A$28:$A$46, A4) &gt; 0, "2", ""))</f>
        <v>1</v>
      </c>
      <c r="D4" s="8" t="str">
        <f t="shared" si="1"/>
        <v>21</v>
      </c>
      <c r="E4" s="8" t="s">
        <v>15</v>
      </c>
      <c r="F4" s="8" t="s">
        <v>15</v>
      </c>
      <c r="G4" s="8" t="s">
        <v>15</v>
      </c>
      <c r="H4" s="8" t="s">
        <v>15</v>
      </c>
      <c r="I4" s="8" t="s">
        <v>15</v>
      </c>
      <c r="J4" s="8" t="s">
        <v>15</v>
      </c>
      <c r="K4" s="8" t="s">
        <v>16</v>
      </c>
      <c r="L4" s="8" t="s">
        <v>15</v>
      </c>
      <c r="M4" s="8" t="s">
        <v>15</v>
      </c>
      <c r="N4" s="8" t="s">
        <v>15</v>
      </c>
      <c r="P4" s="7" t="s">
        <v>15</v>
      </c>
      <c r="Q4" s="7" t="s">
        <v>16</v>
      </c>
      <c r="R4" s="7" t="s">
        <v>16</v>
      </c>
      <c r="S4" s="7" t="s">
        <v>15</v>
      </c>
      <c r="T4" s="7" t="s">
        <v>15</v>
      </c>
      <c r="U4" s="7" t="s">
        <v>15</v>
      </c>
      <c r="V4" s="7" t="s">
        <v>15</v>
      </c>
      <c r="W4" s="7" t="s">
        <v>15</v>
      </c>
      <c r="X4" s="7" t="s">
        <v>15</v>
      </c>
      <c r="Y4" s="28">
        <f t="shared" si="2"/>
        <v>0.95</v>
      </c>
      <c r="Z4" s="7">
        <f>IF(ISBLANK(E4),"",IF(E4=Truth!B$24,1,0))
</f>
        <v>1</v>
      </c>
      <c r="AA4" s="7">
        <f>IF(ISBLANK(F4),"",IF(F4=Truth!C$24,1,0))
</f>
        <v>0</v>
      </c>
      <c r="AB4" s="7">
        <f>IF(ISBLANK(G4),"",IF(G4=Truth!D$24,1,0))
</f>
        <v>0</v>
      </c>
      <c r="AC4" s="7">
        <f>IF(ISBLANK(H4),"",IF(H4=Truth!E$24,1,0))
</f>
        <v>0</v>
      </c>
      <c r="AD4" s="7">
        <f>IF(ISBLANK(I4),"",IF(I4=Truth!F$24,1,0))
</f>
        <v>1</v>
      </c>
      <c r="AE4" s="7">
        <f>IF(ISBLANK(J4),"",IF(J4=Truth!G$24,1,0))
</f>
        <v>1</v>
      </c>
      <c r="AF4" s="7">
        <f>IF(ISBLANK(K4),"",IF(K4=Truth!H$24,1,0))
</f>
        <v>1</v>
      </c>
      <c r="AG4" s="7">
        <f>IF(ISBLANK(L4),"",IF(L4=Truth!I$24,1,0))
</f>
        <v>0</v>
      </c>
      <c r="AH4" s="7">
        <f>IF(ISBLANK(M4),"",IF(M4=Truth!J$24,1,0))
</f>
        <v>1</v>
      </c>
      <c r="AI4" s="7">
        <f>IF(ISBLANK(N4),"",IF(N4=Truth!K$24,1,0))
</f>
        <v>1</v>
      </c>
      <c r="AJ4" s="7" t="str">
        <f>IF(ISBLANK(O4),"",IF(O4=Truth!L$24,1,0))
</f>
        <v/>
      </c>
      <c r="AK4" s="7">
        <f>IF(ISBLANK(P4),"",IF(P4=Truth!M$24,1,0))
</f>
        <v>0</v>
      </c>
      <c r="AL4" s="7">
        <f>IF(ISBLANK(Q4),"",IF(Q4=Truth!N$24,1,0))
</f>
        <v>0</v>
      </c>
      <c r="AM4" s="7">
        <f>IF(ISBLANK(R4),"",IF(R4=Truth!O$24,1,0))
</f>
        <v>1</v>
      </c>
      <c r="AN4" s="7">
        <f>IF(ISBLANK(S4),"",IF(S4=Truth!P$24,1,0))
</f>
        <v>1</v>
      </c>
      <c r="AO4" s="7">
        <f>IF(ISBLANK(T4),"",IF(T4=Truth!Q$24,1,0))
</f>
        <v>0</v>
      </c>
      <c r="AP4" s="7">
        <f>IF(ISBLANK(U4),"",IF(U4=Truth!R$24,1,0))
</f>
        <v>0</v>
      </c>
      <c r="AQ4" s="7">
        <f>IF(ISBLANK(V4),"",IF(V4=Truth!S$24,1,0))
</f>
        <v>1</v>
      </c>
      <c r="AR4" s="7">
        <f>IF(ISBLANK(W4),"",IF(W4=Truth!T$24,1,0))
</f>
        <v>0</v>
      </c>
      <c r="AS4" s="7">
        <f>IF(ISBLANK(X4),"",IF(X4=Truth!U$24,1,0))
</f>
        <v>1</v>
      </c>
      <c r="AT4" s="7">
        <f t="shared" si="3"/>
        <v>0.5263157895</v>
      </c>
      <c r="AU4" s="7">
        <f t="array" ref="AU4">SUM(N(LEN(TRIM(Z4:AS4))&gt;0))</f>
        <v>19</v>
      </c>
      <c r="AV4" s="7">
        <f t="shared" si="4"/>
        <v>10</v>
      </c>
    </row>
    <row r="5">
      <c r="A5" s="8" t="s">
        <v>101</v>
      </c>
      <c r="B5" s="8" t="str">
        <f>IF(COUNTIF('Fieldwork W1'!$A$4:$A$22, A5) &gt; 0, "1", IF(COUNTIF('Fieldwork W1'!$A$28:$A$46, A5) &gt; 0, "2", ""))</f>
        <v>1</v>
      </c>
      <c r="C5" s="8" t="str">
        <f>IF(COUNTIF('Fieldwork W2'!$A$4:$A$22, A5) &gt; 0, "1", IF(COUNTIF('Fieldwork W2'!$A$28:$A$46, A5) &gt; 0, "2", ""))</f>
        <v>1</v>
      </c>
      <c r="D5" s="8" t="str">
        <f t="shared" si="1"/>
        <v>11</v>
      </c>
      <c r="L5" s="8" t="s">
        <v>16</v>
      </c>
      <c r="M5" s="8" t="s">
        <v>16</v>
      </c>
      <c r="N5" s="8" t="s">
        <v>16</v>
      </c>
      <c r="O5" s="7" t="s">
        <v>15</v>
      </c>
      <c r="P5" s="7" t="s">
        <v>16</v>
      </c>
      <c r="Q5" s="7" t="s">
        <v>15</v>
      </c>
      <c r="R5" s="7" t="s">
        <v>15</v>
      </c>
      <c r="S5" s="7" t="s">
        <v>15</v>
      </c>
      <c r="T5" s="7" t="s">
        <v>16</v>
      </c>
      <c r="U5" s="7" t="s">
        <v>16</v>
      </c>
      <c r="V5" s="7" t="s">
        <v>15</v>
      </c>
      <c r="W5" s="7" t="s">
        <v>15</v>
      </c>
      <c r="X5" s="7" t="s">
        <v>16</v>
      </c>
      <c r="Y5" s="28">
        <f t="shared" si="2"/>
        <v>0.65</v>
      </c>
      <c r="Z5" s="7" t="str">
        <f>IF(ISBLANK(E5),"",IF(E5=Truth!B$22,1,0))
</f>
        <v/>
      </c>
      <c r="AA5" s="7" t="str">
        <f>IF(ISBLANK(F5),"",IF(F5=Truth!C$22,1,0))
</f>
        <v/>
      </c>
      <c r="AB5" s="7" t="str">
        <f>IF(ISBLANK(G5),"",IF(G5=Truth!D$22,1,0))
</f>
        <v/>
      </c>
      <c r="AC5" s="7" t="str">
        <f>IF(ISBLANK(H5),"",IF(H5=Truth!E$22,1,0))
</f>
        <v/>
      </c>
      <c r="AD5" s="7" t="str">
        <f>IF(ISBLANK(I5),"",IF(I5=Truth!F$22,1,0))
</f>
        <v/>
      </c>
      <c r="AE5" s="7" t="str">
        <f>IF(ISBLANK(J5),"",IF(J5=Truth!G$22,1,0))
</f>
        <v/>
      </c>
      <c r="AF5" s="7" t="str">
        <f>IF(ISBLANK(K5),"",IF(K5=Truth!H$22,1,0))
</f>
        <v/>
      </c>
      <c r="AG5" s="7">
        <f>IF(ISBLANK(L5),"",IF(L5=Truth!I$22,1,0))
</f>
        <v>1</v>
      </c>
      <c r="AH5" s="7">
        <f>IF(ISBLANK(M5),"",IF(M5=Truth!J$22,1,0))
</f>
        <v>0</v>
      </c>
      <c r="AI5" s="7">
        <f>IF(ISBLANK(N5),"",IF(N5=Truth!K$22,1,0))
</f>
        <v>1</v>
      </c>
      <c r="AJ5" s="7">
        <f>IF(ISBLANK(O5),"",IF(O5=Truth!L$22,1,0))
</f>
        <v>1</v>
      </c>
      <c r="AK5" s="7">
        <f>IF(ISBLANK(P5),"",IF(P5=Truth!M$22,1,0))
</f>
        <v>1</v>
      </c>
      <c r="AL5" s="7">
        <f>IF(ISBLANK(Q5),"",IF(Q5=Truth!N$22,1,0))
</f>
        <v>1</v>
      </c>
      <c r="AM5" s="7">
        <f>IF(ISBLANK(R5),"",IF(R5=Truth!O$22,1,0))
</f>
        <v>0</v>
      </c>
      <c r="AN5" s="7">
        <f>IF(ISBLANK(S5),"",IF(S5=Truth!P$22,1,0))
</f>
        <v>1</v>
      </c>
      <c r="AO5" s="7">
        <f>IF(ISBLANK(T5),"",IF(T5=Truth!Q$22,1,0))
</f>
        <v>1</v>
      </c>
      <c r="AP5" s="7">
        <f>IF(ISBLANK(U5),"",IF(U5=Truth!R$22,1,0))
</f>
        <v>1</v>
      </c>
      <c r="AQ5" s="7">
        <f>IF(ISBLANK(V5),"",IF(V5=Truth!S$22,1,0))
</f>
        <v>1</v>
      </c>
      <c r="AR5" s="7">
        <f>IF(ISBLANK(W5),"",IF(W5=Truth!T$22,1,0))
</f>
        <v>0</v>
      </c>
      <c r="AS5" s="7">
        <f>IF(ISBLANK(X5),"",IF(X5=Truth!U$22,1,0))
</f>
        <v>0</v>
      </c>
      <c r="AT5" s="7">
        <f t="shared" si="3"/>
        <v>0.6923076923</v>
      </c>
      <c r="AU5" s="7">
        <f t="array" ref="AU5">SUM(N(LEN(TRIM(Z5:AS5))&gt;0))</f>
        <v>13</v>
      </c>
      <c r="AV5" s="7">
        <f t="shared" si="4"/>
        <v>9</v>
      </c>
    </row>
    <row r="6">
      <c r="A6" s="8" t="s">
        <v>89</v>
      </c>
      <c r="B6" s="8" t="str">
        <f>IF(COUNTIF('Fieldwork W1'!$A$4:$A$22, A6) &gt; 0, "1", IF(COUNTIF('Fieldwork W1'!$A$28:$A$46, A6) &gt; 0, "2", ""))</f>
        <v>1</v>
      </c>
      <c r="C6" s="8" t="str">
        <f>IF(COUNTIF('Fieldwork W2'!$A$4:$A$22, A6) &gt; 0, "1", IF(COUNTIF('Fieldwork W2'!$A$28:$A$46, A6) &gt; 0, "2", ""))</f>
        <v>1</v>
      </c>
      <c r="D6" s="8" t="str">
        <f t="shared" si="1"/>
        <v>11</v>
      </c>
      <c r="E6" s="8" t="s">
        <v>15</v>
      </c>
      <c r="F6" s="8" t="s">
        <v>16</v>
      </c>
      <c r="G6" s="8" t="s">
        <v>16</v>
      </c>
      <c r="H6" s="8" t="s">
        <v>16</v>
      </c>
      <c r="I6" s="8" t="s">
        <v>16</v>
      </c>
      <c r="J6" s="8" t="s">
        <v>15</v>
      </c>
      <c r="K6" s="8" t="s">
        <v>15</v>
      </c>
      <c r="L6" s="8" t="s">
        <v>15</v>
      </c>
      <c r="M6" s="8" t="s">
        <v>16</v>
      </c>
      <c r="N6" s="8" t="s">
        <v>15</v>
      </c>
      <c r="O6" s="7" t="s">
        <v>15</v>
      </c>
      <c r="P6" s="7" t="s">
        <v>16</v>
      </c>
      <c r="Q6" s="7" t="s">
        <v>15</v>
      </c>
      <c r="R6" s="7" t="s">
        <v>15</v>
      </c>
      <c r="S6" s="7" t="s">
        <v>16</v>
      </c>
      <c r="T6" s="7" t="s">
        <v>15</v>
      </c>
      <c r="U6" s="7" t="s">
        <v>16</v>
      </c>
      <c r="W6" s="7" t="s">
        <v>15</v>
      </c>
      <c r="X6" s="7" t="s">
        <v>16</v>
      </c>
      <c r="Y6" s="28">
        <f t="shared" si="2"/>
        <v>0.95</v>
      </c>
      <c r="Z6" s="7">
        <f>IF(ISBLANK(E6),"",IF(E6=Truth!B$22,1,0))
</f>
        <v>1</v>
      </c>
      <c r="AA6" s="7">
        <f>IF(ISBLANK(F6),"",IF(F6=Truth!C$22,1,0))
</f>
        <v>1</v>
      </c>
      <c r="AB6" s="7">
        <f>IF(ISBLANK(G6),"",IF(G6=Truth!D$22,1,0))
</f>
        <v>1</v>
      </c>
      <c r="AC6" s="7">
        <f>IF(ISBLANK(H6),"",IF(H6=Truth!E$22,1,0))
</f>
        <v>1</v>
      </c>
      <c r="AD6" s="7">
        <f>IF(ISBLANK(I6),"",IF(I6=Truth!F$22,1,0))
</f>
        <v>0</v>
      </c>
      <c r="AE6" s="7">
        <f>IF(ISBLANK(J6),"",IF(J6=Truth!G$22,1,0))
</f>
        <v>1</v>
      </c>
      <c r="AF6" s="7">
        <f>IF(ISBLANK(K6),"",IF(K6=Truth!H$22,1,0))
</f>
        <v>1</v>
      </c>
      <c r="AG6" s="7">
        <f>IF(ISBLANK(L6),"",IF(L6=Truth!I$22,1,0))
</f>
        <v>0</v>
      </c>
      <c r="AH6" s="7">
        <f>IF(ISBLANK(M6),"",IF(M6=Truth!J$22,1,0))
</f>
        <v>0</v>
      </c>
      <c r="AI6" s="7">
        <f>IF(ISBLANK(N6),"",IF(N6=Truth!K$22,1,0))
</f>
        <v>0</v>
      </c>
      <c r="AJ6" s="7">
        <f>IF(ISBLANK(O6),"",IF(O6=Truth!L$22,1,0))
</f>
        <v>1</v>
      </c>
      <c r="AK6" s="7">
        <f>IF(ISBLANK(P6),"",IF(P6=Truth!M$22,1,0))
</f>
        <v>1</v>
      </c>
      <c r="AL6" s="7">
        <f>IF(ISBLANK(Q6),"",IF(Q6=Truth!N$22,1,0))
</f>
        <v>1</v>
      </c>
      <c r="AM6" s="7">
        <f>IF(ISBLANK(R6),"",IF(R6=Truth!O$22,1,0))
</f>
        <v>0</v>
      </c>
      <c r="AN6" s="7">
        <f>IF(ISBLANK(S6),"",IF(S6=Truth!P$22,1,0))
</f>
        <v>0</v>
      </c>
      <c r="AO6" s="7">
        <f>IF(ISBLANK(T6),"",IF(T6=Truth!Q$22,1,0))
</f>
        <v>0</v>
      </c>
      <c r="AP6" s="7">
        <f>IF(ISBLANK(U6),"",IF(U6=Truth!R$22,1,0))
</f>
        <v>1</v>
      </c>
      <c r="AQ6" s="7" t="str">
        <f>IF(ISBLANK(V6),"",IF(V6=Truth!S$22,1,0))
</f>
        <v/>
      </c>
      <c r="AR6" s="7">
        <f>IF(ISBLANK(W6),"",IF(W6=Truth!T$22,1,0))
</f>
        <v>0</v>
      </c>
      <c r="AS6" s="7">
        <f>IF(ISBLANK(X6),"",IF(X6=Truth!U$22,1,0))
</f>
        <v>0</v>
      </c>
      <c r="AT6" s="7">
        <f t="shared" si="3"/>
        <v>0.5263157895</v>
      </c>
      <c r="AU6" s="7">
        <f t="array" ref="AU6">SUM(N(LEN(TRIM(Z6:AS6))&gt;0))</f>
        <v>19</v>
      </c>
      <c r="AV6" s="7">
        <f t="shared" si="4"/>
        <v>10</v>
      </c>
    </row>
    <row r="7">
      <c r="A7" s="8" t="s">
        <v>136</v>
      </c>
      <c r="B7" s="8" t="str">
        <f>IF(COUNTIF('Fieldwork W1'!$A$4:$A$22, A7) &gt; 0, "1", IF(COUNTIF('Fieldwork W1'!$A$28:$A$46, A7) &gt; 0, "2", ""))</f>
        <v>2</v>
      </c>
      <c r="C7" s="8" t="str">
        <f>IF(COUNTIF('Fieldwork W2'!$A$4:$A$22, A7) &gt; 0, "1", IF(COUNTIF('Fieldwork W2'!$A$28:$A$46, A7) &gt; 0, "2", ""))</f>
        <v>2</v>
      </c>
      <c r="D7" s="8" t="str">
        <f t="shared" si="1"/>
        <v>22</v>
      </c>
      <c r="F7" s="8" t="s">
        <v>15</v>
      </c>
      <c r="G7" s="8" t="s">
        <v>15</v>
      </c>
      <c r="H7" s="8" t="s">
        <v>15</v>
      </c>
      <c r="I7" s="8" t="s">
        <v>15</v>
      </c>
      <c r="K7" s="8" t="s">
        <v>15</v>
      </c>
      <c r="L7" s="8" t="s">
        <v>16</v>
      </c>
      <c r="N7" s="8" t="s">
        <v>15</v>
      </c>
      <c r="R7" s="7" t="s">
        <v>16</v>
      </c>
      <c r="S7" s="7" t="s">
        <v>15</v>
      </c>
      <c r="T7" s="7" t="s">
        <v>16</v>
      </c>
      <c r="U7" s="7" t="s">
        <v>15</v>
      </c>
      <c r="V7" s="7" t="s">
        <v>15</v>
      </c>
      <c r="W7" s="7" t="s">
        <v>15</v>
      </c>
      <c r="X7" s="7" t="s">
        <v>15</v>
      </c>
      <c r="Y7" s="28">
        <f t="shared" si="2"/>
        <v>0.7</v>
      </c>
      <c r="Z7" s="7" t="str">
        <f>IF(ISBLANK(E7),"",IF(E7=Truth!B$25,1,0))
</f>
        <v/>
      </c>
      <c r="AA7" s="7">
        <f>IF(ISBLANK(F7),"",IF(F7=Truth!C$25,1,0))
</f>
        <v>0</v>
      </c>
      <c r="AB7" s="7">
        <f>IF(ISBLANK(G7),"",IF(G7=Truth!D$25,1,0))
</f>
        <v>0</v>
      </c>
      <c r="AC7" s="7">
        <f>IF(ISBLANK(H7),"",IF(H7=Truth!E$25,1,0))
</f>
        <v>0</v>
      </c>
      <c r="AD7" s="7">
        <f>IF(ISBLANK(I7),"",IF(I7=Truth!F$25,1,0))
</f>
        <v>1</v>
      </c>
      <c r="AE7" s="7" t="str">
        <f>IF(ISBLANK(J7),"",IF(J7=Truth!G$25,1,0))
</f>
        <v/>
      </c>
      <c r="AF7" s="7">
        <f>IF(ISBLANK(K7),"",IF(K7=Truth!H$25,1,0))
</f>
        <v>0</v>
      </c>
      <c r="AG7" s="7">
        <f>IF(ISBLANK(L7),"",IF(L7=Truth!I$25,1,0))
</f>
        <v>1</v>
      </c>
      <c r="AH7" s="7" t="str">
        <f>IF(ISBLANK(M7),"",IF(M7=Truth!J$25,1,0))
</f>
        <v/>
      </c>
      <c r="AI7" s="7">
        <f>IF(ISBLANK(N7),"",IF(N7=Truth!K$25,1,0))
</f>
        <v>1</v>
      </c>
      <c r="AJ7" s="7" t="str">
        <f>IF(ISBLANK(O7),"",IF(O7=Truth!L$25,1,0))
</f>
        <v/>
      </c>
      <c r="AK7" s="7" t="str">
        <f>IF(ISBLANK(P7),"",IF(P7=Truth!M$25,1,0))
</f>
        <v/>
      </c>
      <c r="AL7" s="7" t="str">
        <f>IF(ISBLANK(Q7),"",IF(Q7=Truth!N$25,1,0))
</f>
        <v/>
      </c>
      <c r="AM7" s="7">
        <f>IF(ISBLANK(R7),"",IF(R7=Truth!O$25,1,0))
</f>
        <v>0</v>
      </c>
      <c r="AN7" s="7">
        <f>IF(ISBLANK(S7),"",IF(S7=Truth!P$25,1,0))
</f>
        <v>0</v>
      </c>
      <c r="AO7" s="7">
        <f>IF(ISBLANK(T7),"",IF(T7=Truth!Q$25,1,0))
</f>
        <v>0</v>
      </c>
      <c r="AP7" s="7">
        <f>IF(ISBLANK(U7),"",IF(U7=Truth!R$25,1,0))
</f>
        <v>0</v>
      </c>
      <c r="AQ7" s="7">
        <f>IF(ISBLANK(V7),"",IF(V7=Truth!S$25,1,0))
</f>
        <v>1</v>
      </c>
      <c r="AR7" s="7">
        <f>IF(ISBLANK(W7),"",IF(W7=Truth!T$25,1,0))
</f>
        <v>0</v>
      </c>
      <c r="AS7" s="7">
        <f>IF(ISBLANK(X7),"",IF(X7=Truth!U$25,1,0))
</f>
        <v>1</v>
      </c>
      <c r="AT7" s="7">
        <f t="shared" si="3"/>
        <v>0.3571428571</v>
      </c>
      <c r="AU7" s="7">
        <f t="array" ref="AU7">SUM(N(LEN(TRIM(Z7:AS7))&gt;0))</f>
        <v>14</v>
      </c>
      <c r="AV7" s="7">
        <f t="shared" si="4"/>
        <v>5</v>
      </c>
    </row>
    <row r="8">
      <c r="A8" s="8" t="s">
        <v>80</v>
      </c>
      <c r="B8" s="8" t="str">
        <f>IF(COUNTIF('Fieldwork W1'!$A$4:$A$22, A8) &gt; 0, "1", IF(COUNTIF('Fieldwork W1'!$A$28:$A$46, A8) &gt; 0, "2", ""))</f>
        <v>1</v>
      </c>
      <c r="C8" s="8" t="str">
        <f>IF(COUNTIF('Fieldwork W2'!$A$4:$A$22, A8) &gt; 0, "1", IF(COUNTIF('Fieldwork W2'!$A$28:$A$46, A8) &gt; 0, "2", ""))</f>
        <v>2</v>
      </c>
      <c r="D8" s="8" t="str">
        <f t="shared" si="1"/>
        <v>12</v>
      </c>
      <c r="E8" s="8" t="s">
        <v>15</v>
      </c>
      <c r="F8" s="8" t="s">
        <v>16</v>
      </c>
      <c r="G8" s="8" t="s">
        <v>16</v>
      </c>
      <c r="H8" s="8" t="s">
        <v>16</v>
      </c>
      <c r="I8" s="8" t="s">
        <v>15</v>
      </c>
      <c r="J8" s="8" t="s">
        <v>16</v>
      </c>
      <c r="K8" s="8" t="s">
        <v>15</v>
      </c>
      <c r="L8" s="8" t="s">
        <v>16</v>
      </c>
      <c r="M8" s="8" t="s">
        <v>16</v>
      </c>
      <c r="N8" s="8" t="s">
        <v>16</v>
      </c>
      <c r="O8" s="7" t="s">
        <v>15</v>
      </c>
      <c r="P8" s="7" t="s">
        <v>16</v>
      </c>
      <c r="Q8" s="7" t="s">
        <v>16</v>
      </c>
      <c r="R8" s="7" t="s">
        <v>15</v>
      </c>
      <c r="S8" s="7" t="s">
        <v>16</v>
      </c>
      <c r="T8" s="7" t="s">
        <v>16</v>
      </c>
      <c r="U8" s="7" t="s">
        <v>15</v>
      </c>
      <c r="V8" s="7" t="s">
        <v>15</v>
      </c>
      <c r="W8" s="7" t="s">
        <v>16</v>
      </c>
      <c r="X8" s="7" t="s">
        <v>15</v>
      </c>
      <c r="Y8" s="28">
        <f t="shared" si="2"/>
        <v>1</v>
      </c>
      <c r="Z8" s="7">
        <f>IF(ISBLANK(E8),"",IF(E8=Truth!B$23,1,0))
</f>
        <v>1</v>
      </c>
      <c r="AA8" s="7">
        <f>IF(ISBLANK(F8),"",IF(F8=Truth!C$23,1,0))
</f>
        <v>1</v>
      </c>
      <c r="AB8" s="7">
        <f>IF(ISBLANK(G8),"",IF(G8=Truth!D$23,1,0))
</f>
        <v>1</v>
      </c>
      <c r="AC8" s="7">
        <f>IF(ISBLANK(H8),"",IF(H8=Truth!E$23,1,0))
</f>
        <v>1</v>
      </c>
      <c r="AD8" s="7">
        <f>IF(ISBLANK(I8),"",IF(I8=Truth!F$23,1,0))
</f>
        <v>1</v>
      </c>
      <c r="AE8" s="7">
        <f>IF(ISBLANK(J8),"",IF(J8=Truth!G$23,1,0))
</f>
        <v>0</v>
      </c>
      <c r="AF8" s="7">
        <f>IF(ISBLANK(K8),"",IF(K8=Truth!H$23,1,0))
</f>
        <v>1</v>
      </c>
      <c r="AG8" s="7">
        <f>IF(ISBLANK(L8),"",IF(L8=Truth!I$23,1,0))
</f>
        <v>1</v>
      </c>
      <c r="AH8" s="7">
        <f>IF(ISBLANK(M8),"",IF(M8=Truth!J$23,1,0))
</f>
        <v>0</v>
      </c>
      <c r="AI8" s="7">
        <f>IF(ISBLANK(N8),"",IF(N8=Truth!K$23,1,0))
</f>
        <v>1</v>
      </c>
      <c r="AJ8" s="7">
        <f>IF(ISBLANK(O8),"",IF(O8=Truth!L$23,1,0))
</f>
        <v>0</v>
      </c>
      <c r="AK8" s="7">
        <f>IF(ISBLANK(P8),"",IF(P8=Truth!M$23,1,0))
</f>
        <v>0</v>
      </c>
      <c r="AL8" s="7">
        <f>IF(ISBLANK(Q8),"",IF(Q8=Truth!N$23,1,0))
</f>
        <v>1</v>
      </c>
      <c r="AM8" s="7">
        <f>IF(ISBLANK(R8),"",IF(R8=Truth!O$23,1,0))
</f>
        <v>1</v>
      </c>
      <c r="AN8" s="7">
        <f>IF(ISBLANK(S8),"",IF(S8=Truth!P$23,1,0))
</f>
        <v>1</v>
      </c>
      <c r="AO8" s="7">
        <f>IF(ISBLANK(T8),"",IF(T8=Truth!Q$23,1,0))
</f>
        <v>0</v>
      </c>
      <c r="AP8" s="7">
        <f>IF(ISBLANK(U8),"",IF(U8=Truth!R$23,1,0))
</f>
        <v>0</v>
      </c>
      <c r="AQ8" s="7">
        <f>IF(ISBLANK(V8),"",IF(V8=Truth!S$23,1,0))
</f>
        <v>1</v>
      </c>
      <c r="AR8" s="7">
        <f>IF(ISBLANK(W8),"",IF(W8=Truth!T$23,1,0))
</f>
        <v>1</v>
      </c>
      <c r="AS8" s="7">
        <f>IF(ISBLANK(X8),"",IF(X8=Truth!U$23,1,0))
</f>
        <v>1</v>
      </c>
      <c r="AT8" s="7">
        <f t="shared" si="3"/>
        <v>0.7</v>
      </c>
      <c r="AU8" s="7">
        <f t="array" ref="AU8">SUM(N(LEN(TRIM(Z8:AS8))&gt;0))</f>
        <v>20</v>
      </c>
      <c r="AV8" s="7">
        <f t="shared" si="4"/>
        <v>14</v>
      </c>
    </row>
    <row r="9">
      <c r="A9" s="8" t="s">
        <v>69</v>
      </c>
      <c r="B9" s="8" t="str">
        <f>IF(COUNTIF('Fieldwork W1'!$A$4:$A$22, A9) &gt; 0, "1", IF(COUNTIF('Fieldwork W1'!$A$28:$A$46, A9) &gt; 0, "2", ""))</f>
        <v>1</v>
      </c>
      <c r="C9" s="8" t="str">
        <f>IF(COUNTIF('Fieldwork W2'!$A$4:$A$22, A9) &gt; 0, "1", IF(COUNTIF('Fieldwork W2'!$A$28:$A$46, A9) &gt; 0, "2", ""))</f>
        <v>1</v>
      </c>
      <c r="D9" s="8" t="str">
        <f t="shared" si="1"/>
        <v>11</v>
      </c>
      <c r="E9" s="8" t="s">
        <v>15</v>
      </c>
      <c r="F9" s="8" t="s">
        <v>16</v>
      </c>
      <c r="G9" s="8" t="s">
        <v>16</v>
      </c>
      <c r="H9" s="8" t="s">
        <v>16</v>
      </c>
      <c r="I9" s="8" t="s">
        <v>16</v>
      </c>
      <c r="J9" s="8" t="s">
        <v>15</v>
      </c>
      <c r="K9" s="8" t="s">
        <v>15</v>
      </c>
      <c r="L9" s="8" t="s">
        <v>16</v>
      </c>
      <c r="M9" s="8" t="s">
        <v>15</v>
      </c>
      <c r="N9" s="8" t="s">
        <v>16</v>
      </c>
      <c r="O9" s="7" t="s">
        <v>15</v>
      </c>
      <c r="Q9" s="7" t="s">
        <v>15</v>
      </c>
      <c r="R9" s="7" t="s">
        <v>15</v>
      </c>
      <c r="T9" s="7" t="s">
        <v>16</v>
      </c>
      <c r="U9" s="7" t="s">
        <v>16</v>
      </c>
      <c r="V9" s="7" t="s">
        <v>15</v>
      </c>
      <c r="W9" s="7" t="s">
        <v>15</v>
      </c>
      <c r="X9" s="7" t="s">
        <v>16</v>
      </c>
      <c r="Y9" s="28">
        <f t="shared" si="2"/>
        <v>0.9</v>
      </c>
      <c r="Z9" s="7">
        <f>IF(ISBLANK(E9),"",IF(E9=Truth!B$22,1,0))
</f>
        <v>1</v>
      </c>
      <c r="AA9" s="7">
        <f>IF(ISBLANK(F9),"",IF(F9=Truth!C$22,1,0))
</f>
        <v>1</v>
      </c>
      <c r="AB9" s="7">
        <f>IF(ISBLANK(G9),"",IF(G9=Truth!D$22,1,0))
</f>
        <v>1</v>
      </c>
      <c r="AC9" s="7">
        <f>IF(ISBLANK(H9),"",IF(H9=Truth!E$22,1,0))
</f>
        <v>1</v>
      </c>
      <c r="AD9" s="7">
        <f>IF(ISBLANK(I9),"",IF(I9=Truth!F$22,1,0))
</f>
        <v>0</v>
      </c>
      <c r="AE9" s="7">
        <f>IF(ISBLANK(J9),"",IF(J9=Truth!G$22,1,0))
</f>
        <v>1</v>
      </c>
      <c r="AF9" s="7">
        <f>IF(ISBLANK(K9),"",IF(K9=Truth!H$22,1,0))
</f>
        <v>1</v>
      </c>
      <c r="AG9" s="7">
        <f>IF(ISBLANK(L9),"",IF(L9=Truth!I$22,1,0))
</f>
        <v>1</v>
      </c>
      <c r="AH9" s="7">
        <f>IF(ISBLANK(M9),"",IF(M9=Truth!J$22,1,0))
</f>
        <v>1</v>
      </c>
      <c r="AI9" s="7">
        <f>IF(ISBLANK(N9),"",IF(N9=Truth!K$22,1,0))
</f>
        <v>1</v>
      </c>
      <c r="AJ9" s="7">
        <f>IF(ISBLANK(O9),"",IF(O9=Truth!L$22,1,0))
</f>
        <v>1</v>
      </c>
      <c r="AK9" s="7" t="str">
        <f>IF(ISBLANK(P9),"",IF(P9=Truth!M$22,1,0))
</f>
        <v/>
      </c>
      <c r="AL9" s="7">
        <f>IF(ISBLANK(Q9),"",IF(Q9=Truth!N$22,1,0))
</f>
        <v>1</v>
      </c>
      <c r="AM9" s="7">
        <f>IF(ISBLANK(R9),"",IF(R9=Truth!O$22,1,0))
</f>
        <v>0</v>
      </c>
      <c r="AN9" s="7" t="str">
        <f>IF(ISBLANK(S9),"",IF(S9=Truth!P$22,1,0))
</f>
        <v/>
      </c>
      <c r="AO9" s="7">
        <f>IF(ISBLANK(T9),"",IF(T9=Truth!Q$22,1,0))
</f>
        <v>1</v>
      </c>
      <c r="AP9" s="7">
        <f>IF(ISBLANK(U9),"",IF(U9=Truth!R$22,1,0))
</f>
        <v>1</v>
      </c>
      <c r="AQ9" s="7">
        <f>IF(ISBLANK(V9),"",IF(V9=Truth!S$22,1,0))
</f>
        <v>1</v>
      </c>
      <c r="AR9" s="7">
        <f>IF(ISBLANK(W9),"",IF(W9=Truth!T$22,1,0))
</f>
        <v>0</v>
      </c>
      <c r="AS9" s="7">
        <f>IF(ISBLANK(X9),"",IF(X9=Truth!U$22,1,0))
</f>
        <v>0</v>
      </c>
      <c r="AT9" s="7">
        <f t="shared" si="3"/>
        <v>0.7777777778</v>
      </c>
      <c r="AU9" s="7">
        <f t="array" ref="AU9">SUM(N(LEN(TRIM(Z9:AS9))&gt;0))</f>
        <v>18</v>
      </c>
      <c r="AV9" s="7">
        <f t="shared" si="4"/>
        <v>14</v>
      </c>
    </row>
    <row r="10">
      <c r="A10" s="8" t="s">
        <v>61</v>
      </c>
      <c r="B10" s="8" t="str">
        <f>IF(COUNTIF('Fieldwork W1'!$A$4:$A$22, A10) &gt; 0, "1", IF(COUNTIF('Fieldwork W1'!$A$28:$A$46, A10) &gt; 0, "2", ""))</f>
        <v>2</v>
      </c>
      <c r="C10" s="8" t="str">
        <f>IF(COUNTIF('Fieldwork W2'!$A$4:$A$22, A10) &gt; 0, "1", IF(COUNTIF('Fieldwork W2'!$A$28:$A$46, A10) &gt; 0, "2", ""))</f>
        <v>1</v>
      </c>
      <c r="D10" s="8" t="str">
        <f t="shared" si="1"/>
        <v>21</v>
      </c>
      <c r="E10" s="8" t="s">
        <v>15</v>
      </c>
      <c r="F10" s="8" t="s">
        <v>16</v>
      </c>
      <c r="G10" s="8" t="s">
        <v>16</v>
      </c>
      <c r="H10" s="8" t="s">
        <v>15</v>
      </c>
      <c r="I10" s="8" t="s">
        <v>16</v>
      </c>
      <c r="K10" s="8" t="s">
        <v>15</v>
      </c>
      <c r="L10" s="8" t="s">
        <v>16</v>
      </c>
      <c r="N10" s="8" t="s">
        <v>15</v>
      </c>
      <c r="O10" s="7" t="s">
        <v>15</v>
      </c>
      <c r="R10" s="7" t="s">
        <v>15</v>
      </c>
      <c r="S10" s="7" t="s">
        <v>15</v>
      </c>
      <c r="T10" s="7" t="s">
        <v>16</v>
      </c>
      <c r="U10" s="7" t="s">
        <v>16</v>
      </c>
      <c r="V10" s="7" t="s">
        <v>15</v>
      </c>
      <c r="W10" s="7" t="s">
        <v>16</v>
      </c>
      <c r="Y10" s="28">
        <f t="shared" si="2"/>
        <v>0.75</v>
      </c>
      <c r="Z10" s="7">
        <f>IF(ISBLANK(E10),"",IF(E10=Truth!B$24,1,0))
</f>
        <v>1</v>
      </c>
      <c r="AA10" s="7">
        <f>IF(ISBLANK(F10),"",IF(F10=Truth!C$24,1,0))
</f>
        <v>1</v>
      </c>
      <c r="AB10" s="7">
        <f>IF(ISBLANK(G10),"",IF(G10=Truth!D$24,1,0))
</f>
        <v>1</v>
      </c>
      <c r="AC10" s="7">
        <f>IF(ISBLANK(H10),"",IF(H10=Truth!E$24,1,0))
</f>
        <v>0</v>
      </c>
      <c r="AD10" s="7">
        <f>IF(ISBLANK(I10),"",IF(I10=Truth!F$24,1,0))
</f>
        <v>0</v>
      </c>
      <c r="AE10" s="7" t="str">
        <f>IF(ISBLANK(J10),"",IF(J10=Truth!G$24,1,0))
</f>
        <v/>
      </c>
      <c r="AF10" s="7">
        <f>IF(ISBLANK(K10),"",IF(K10=Truth!H$24,1,0))
</f>
        <v>0</v>
      </c>
      <c r="AG10" s="7">
        <f>IF(ISBLANK(L10),"",IF(L10=Truth!I$24,1,0))
</f>
        <v>1</v>
      </c>
      <c r="AH10" s="7" t="str">
        <f>IF(ISBLANK(M10),"",IF(M10=Truth!J$24,1,0))
</f>
        <v/>
      </c>
      <c r="AI10" s="7">
        <f>IF(ISBLANK(N10),"",IF(N10=Truth!K$24,1,0))
</f>
        <v>1</v>
      </c>
      <c r="AJ10" s="7">
        <f>IF(ISBLANK(O10),"",IF(O10=Truth!L$24,1,0))
</f>
        <v>1</v>
      </c>
      <c r="AK10" s="7" t="str">
        <f>IF(ISBLANK(P10),"",IF(P10=Truth!M$24,1,0))
</f>
        <v/>
      </c>
      <c r="AL10" s="7" t="str">
        <f>IF(ISBLANK(Q10),"",IF(Q10=Truth!N$24,1,0))
</f>
        <v/>
      </c>
      <c r="AM10" s="7">
        <f>IF(ISBLANK(R10),"",IF(R10=Truth!O$24,1,0))
</f>
        <v>0</v>
      </c>
      <c r="AN10" s="7">
        <f>IF(ISBLANK(S10),"",IF(S10=Truth!P$24,1,0))
</f>
        <v>1</v>
      </c>
      <c r="AO10" s="7">
        <f>IF(ISBLANK(T10),"",IF(T10=Truth!Q$24,1,0))
</f>
        <v>1</v>
      </c>
      <c r="AP10" s="7">
        <f>IF(ISBLANK(U10),"",IF(U10=Truth!R$24,1,0))
</f>
        <v>1</v>
      </c>
      <c r="AQ10" s="7">
        <f>IF(ISBLANK(V10),"",IF(V10=Truth!S$24,1,0))
</f>
        <v>1</v>
      </c>
      <c r="AR10" s="7">
        <f>IF(ISBLANK(W10),"",IF(W10=Truth!T$24,1,0))
</f>
        <v>1</v>
      </c>
      <c r="AS10" s="7" t="str">
        <f>IF(ISBLANK(X10),"",IF(X10=Truth!U$24,1,0))
</f>
        <v/>
      </c>
      <c r="AT10" s="7">
        <f t="shared" si="3"/>
        <v>0.7333333333</v>
      </c>
      <c r="AU10" s="7">
        <f t="array" ref="AU10">SUM(N(LEN(TRIM(Z10:AS10))&gt;0))</f>
        <v>15</v>
      </c>
      <c r="AV10" s="7">
        <f t="shared" si="4"/>
        <v>11</v>
      </c>
    </row>
    <row r="11">
      <c r="A11" s="8" t="s">
        <v>44</v>
      </c>
      <c r="B11" s="8" t="str">
        <f>IF(COUNTIF('Fieldwork W1'!$A$4:$A$22, A11) &gt; 0, "1", IF(COUNTIF('Fieldwork W1'!$A$28:$A$46, A11) &gt; 0, "2", ""))</f>
        <v>2</v>
      </c>
      <c r="C11" s="8" t="str">
        <f>IF(COUNTIF('Fieldwork W2'!$A$4:$A$22, A11) &gt; 0, "1", IF(COUNTIF('Fieldwork W2'!$A$28:$A$46, A11) &gt; 0, "2", ""))</f>
        <v>1</v>
      </c>
      <c r="D11" s="8" t="str">
        <f t="shared" si="1"/>
        <v>21</v>
      </c>
      <c r="E11" s="8" t="s">
        <v>15</v>
      </c>
      <c r="F11" s="8" t="s">
        <v>16</v>
      </c>
      <c r="G11" s="8" t="s">
        <v>15</v>
      </c>
      <c r="H11" s="8" t="s">
        <v>15</v>
      </c>
      <c r="I11" s="8" t="s">
        <v>15</v>
      </c>
      <c r="J11" s="8" t="s">
        <v>15</v>
      </c>
      <c r="K11" s="8" t="s">
        <v>15</v>
      </c>
      <c r="L11" s="8" t="s">
        <v>16</v>
      </c>
      <c r="M11" s="8" t="s">
        <v>15</v>
      </c>
      <c r="N11" s="8" t="s">
        <v>15</v>
      </c>
      <c r="O11" s="7" t="s">
        <v>15</v>
      </c>
      <c r="P11" s="7" t="s">
        <v>15</v>
      </c>
      <c r="Q11" s="7" t="s">
        <v>16</v>
      </c>
      <c r="R11" s="7" t="s">
        <v>15</v>
      </c>
      <c r="S11" s="7" t="s">
        <v>16</v>
      </c>
      <c r="T11" s="7" t="s">
        <v>16</v>
      </c>
      <c r="U11" s="7" t="s">
        <v>15</v>
      </c>
      <c r="V11" s="7" t="s">
        <v>15</v>
      </c>
      <c r="W11" s="7" t="s">
        <v>15</v>
      </c>
      <c r="X11" s="7" t="s">
        <v>15</v>
      </c>
      <c r="Y11" s="28">
        <f t="shared" si="2"/>
        <v>1</v>
      </c>
      <c r="Z11" s="7">
        <f>IF(ISBLANK(E11),"",IF(E11=Truth!B$24,1,0))
</f>
        <v>1</v>
      </c>
      <c r="AA11" s="7">
        <f>IF(ISBLANK(F11),"",IF(F11=Truth!C$24,1,0))
</f>
        <v>1</v>
      </c>
      <c r="AB11" s="7">
        <f>IF(ISBLANK(G11),"",IF(G11=Truth!D$24,1,0))
</f>
        <v>0</v>
      </c>
      <c r="AC11" s="7">
        <f>IF(ISBLANK(H11),"",IF(H11=Truth!E$24,1,0))
</f>
        <v>0</v>
      </c>
      <c r="AD11" s="7">
        <f>IF(ISBLANK(I11),"",IF(I11=Truth!F$24,1,0))
</f>
        <v>1</v>
      </c>
      <c r="AE11" s="7">
        <f>IF(ISBLANK(J11),"",IF(J11=Truth!G$24,1,0))
</f>
        <v>1</v>
      </c>
      <c r="AF11" s="7">
        <f>IF(ISBLANK(K11),"",IF(K11=Truth!H$24,1,0))
</f>
        <v>0</v>
      </c>
      <c r="AG11" s="7">
        <f>IF(ISBLANK(L11),"",IF(L11=Truth!I$24,1,0))
</f>
        <v>1</v>
      </c>
      <c r="AH11" s="7">
        <f>IF(ISBLANK(M11),"",IF(M11=Truth!J$24,1,0))
</f>
        <v>1</v>
      </c>
      <c r="AI11" s="7">
        <f>IF(ISBLANK(N11),"",IF(N11=Truth!K$24,1,0))
</f>
        <v>1</v>
      </c>
      <c r="AJ11" s="7">
        <f>IF(ISBLANK(O11),"",IF(O11=Truth!L$24,1,0))
</f>
        <v>1</v>
      </c>
      <c r="AK11" s="7">
        <f>IF(ISBLANK(P11),"",IF(P11=Truth!M$24,1,0))
</f>
        <v>0</v>
      </c>
      <c r="AL11" s="7">
        <f>IF(ISBLANK(Q11),"",IF(Q11=Truth!N$24,1,0))
</f>
        <v>0</v>
      </c>
      <c r="AM11" s="7">
        <f>IF(ISBLANK(R11),"",IF(R11=Truth!O$24,1,0))
</f>
        <v>0</v>
      </c>
      <c r="AN11" s="7">
        <f>IF(ISBLANK(S11),"",IF(S11=Truth!P$24,1,0))
</f>
        <v>0</v>
      </c>
      <c r="AO11" s="7">
        <f>IF(ISBLANK(T11),"",IF(T11=Truth!Q$24,1,0))
</f>
        <v>1</v>
      </c>
      <c r="AP11" s="7">
        <f>IF(ISBLANK(U11),"",IF(U11=Truth!R$24,1,0))
</f>
        <v>0</v>
      </c>
      <c r="AQ11" s="7">
        <f>IF(ISBLANK(V11),"",IF(V11=Truth!S$24,1,0))
</f>
        <v>1</v>
      </c>
      <c r="AR11" s="7">
        <f>IF(ISBLANK(W11),"",IF(W11=Truth!T$24,1,0))
</f>
        <v>0</v>
      </c>
      <c r="AS11" s="7">
        <f>IF(ISBLANK(X11),"",IF(X11=Truth!U$24,1,0))
</f>
        <v>1</v>
      </c>
      <c r="AT11" s="7">
        <f t="shared" si="3"/>
        <v>0.55</v>
      </c>
      <c r="AU11" s="7">
        <f t="array" ref="AU11">SUM(N(LEN(TRIM(Z11:AS11))&gt;0))</f>
        <v>20</v>
      </c>
      <c r="AV11" s="7">
        <f t="shared" si="4"/>
        <v>11</v>
      </c>
    </row>
    <row r="12">
      <c r="A12" s="8" t="s">
        <v>13</v>
      </c>
      <c r="B12" s="8" t="str">
        <f>IF(COUNTIF('Fieldwork W1'!$A$4:$A$22, A12) &gt; 0, "1", IF(COUNTIF('Fieldwork W1'!$A$28:$A$46, A12) &gt; 0, "2", ""))</f>
        <v>1</v>
      </c>
      <c r="C12" s="8" t="str">
        <f>IF(COUNTIF('Fieldwork W2'!$A$4:$A$22, A12) &gt; 0, "1", IF(COUNTIF('Fieldwork W2'!$A$28:$A$46, A12) &gt; 0, "2", ""))</f>
        <v>1</v>
      </c>
      <c r="D12" s="8" t="str">
        <f t="shared" si="1"/>
        <v>11</v>
      </c>
      <c r="E12" s="8" t="s">
        <v>15</v>
      </c>
      <c r="F12" s="8" t="s">
        <v>15</v>
      </c>
      <c r="G12" s="8" t="s">
        <v>16</v>
      </c>
      <c r="H12" s="8" t="s">
        <v>15</v>
      </c>
      <c r="I12" s="8" t="s">
        <v>15</v>
      </c>
      <c r="J12" s="8" t="s">
        <v>15</v>
      </c>
      <c r="K12" s="8" t="s">
        <v>15</v>
      </c>
      <c r="L12" s="8" t="s">
        <v>16</v>
      </c>
      <c r="N12" s="8" t="s">
        <v>16</v>
      </c>
      <c r="O12" s="7" t="s">
        <v>16</v>
      </c>
      <c r="P12" s="7" t="s">
        <v>15</v>
      </c>
      <c r="Q12" s="7" t="s">
        <v>15</v>
      </c>
      <c r="R12" s="7" t="s">
        <v>16</v>
      </c>
      <c r="S12" s="7" t="s">
        <v>15</v>
      </c>
      <c r="T12" s="7" t="s">
        <v>16</v>
      </c>
      <c r="U12" s="7" t="s">
        <v>15</v>
      </c>
      <c r="V12" s="7" t="s">
        <v>16</v>
      </c>
      <c r="W12" s="7" t="s">
        <v>15</v>
      </c>
      <c r="X12" s="7" t="s">
        <v>16</v>
      </c>
      <c r="Y12" s="28">
        <f t="shared" si="2"/>
        <v>0.95</v>
      </c>
      <c r="Z12" s="7">
        <f>IF(ISBLANK(E12),"",IF(E12=Truth!B$22,1,0))
</f>
        <v>1</v>
      </c>
      <c r="AA12" s="7">
        <f>IF(ISBLANK(F12),"",IF(F12=Truth!C$22,1,0))
</f>
        <v>0</v>
      </c>
      <c r="AB12" s="7">
        <f>IF(ISBLANK(G12),"",IF(G12=Truth!D$22,1,0))
</f>
        <v>1</v>
      </c>
      <c r="AC12" s="7">
        <f>IF(ISBLANK(H12),"",IF(H12=Truth!E$22,1,0))
</f>
        <v>0</v>
      </c>
      <c r="AD12" s="7">
        <f>IF(ISBLANK(I12),"",IF(I12=Truth!F$22,1,0))
</f>
        <v>1</v>
      </c>
      <c r="AE12" s="7">
        <f>IF(ISBLANK(J12),"",IF(J12=Truth!G$22,1,0))
</f>
        <v>1</v>
      </c>
      <c r="AF12" s="7">
        <f>IF(ISBLANK(K12),"",IF(K12=Truth!H$22,1,0))
</f>
        <v>1</v>
      </c>
      <c r="AG12" s="7">
        <f>IF(ISBLANK(L12),"",IF(L12=Truth!I$22,1,0))
</f>
        <v>1</v>
      </c>
      <c r="AH12" s="7" t="str">
        <f>IF(ISBLANK(M12),"",IF(M12=Truth!J$22,1,0))
</f>
        <v/>
      </c>
      <c r="AI12" s="7">
        <f>IF(ISBLANK(N12),"",IF(N12=Truth!K$22,1,0))
</f>
        <v>1</v>
      </c>
      <c r="AJ12" s="7">
        <f>IF(ISBLANK(O12),"",IF(O12=Truth!L$22,1,0))
</f>
        <v>0</v>
      </c>
      <c r="AK12" s="7">
        <f>IF(ISBLANK(P12),"",IF(P12=Truth!M$22,1,0))
</f>
        <v>0</v>
      </c>
      <c r="AL12" s="7">
        <f>IF(ISBLANK(Q12),"",IF(Q12=Truth!N$22,1,0))
</f>
        <v>1</v>
      </c>
      <c r="AM12" s="7">
        <f>IF(ISBLANK(R12),"",IF(R12=Truth!O$22,1,0))
</f>
        <v>1</v>
      </c>
      <c r="AN12" s="7">
        <f>IF(ISBLANK(S12),"",IF(S12=Truth!P$22,1,0))
</f>
        <v>1</v>
      </c>
      <c r="AO12" s="7">
        <f>IF(ISBLANK(T12),"",IF(T12=Truth!Q$22,1,0))
</f>
        <v>1</v>
      </c>
      <c r="AP12" s="7">
        <f>IF(ISBLANK(U12),"",IF(U12=Truth!R$22,1,0))
</f>
        <v>0</v>
      </c>
      <c r="AQ12" s="7">
        <f>IF(ISBLANK(V12),"",IF(V12=Truth!S$22,1,0))
</f>
        <v>0</v>
      </c>
      <c r="AR12" s="7">
        <f>IF(ISBLANK(W12),"",IF(W12=Truth!T$22,1,0))
</f>
        <v>0</v>
      </c>
      <c r="AS12" s="7">
        <f>IF(ISBLANK(X12),"",IF(X12=Truth!U$22,1,0))
</f>
        <v>0</v>
      </c>
      <c r="AT12" s="7">
        <f t="shared" si="3"/>
        <v>0.5789473684</v>
      </c>
      <c r="AU12" s="7">
        <f t="array" ref="AU12">SUM(N(LEN(TRIM(Z12:AS12))&gt;0))</f>
        <v>19</v>
      </c>
      <c r="AV12" s="7">
        <f t="shared" si="4"/>
        <v>11</v>
      </c>
    </row>
    <row r="13">
      <c r="A13" s="8" t="s">
        <v>117</v>
      </c>
      <c r="B13" s="8" t="str">
        <f>IF(COUNTIF('Fieldwork W1'!$A$4:$A$22, A13) &gt; 0, "1", IF(COUNTIF('Fieldwork W1'!$A$28:$A$46, A13) &gt; 0, "2", ""))</f>
        <v>2</v>
      </c>
      <c r="C13" s="8" t="str">
        <f>IF(COUNTIF('Fieldwork W2'!$A$4:$A$22, A13) &gt; 0, "1", IF(COUNTIF('Fieldwork W2'!$A$28:$A$46, A13) &gt; 0, "2", ""))</f>
        <v>2</v>
      </c>
      <c r="D13" s="8" t="str">
        <f t="shared" si="1"/>
        <v>22</v>
      </c>
      <c r="E13" s="8" t="s">
        <v>15</v>
      </c>
      <c r="F13" s="8" t="s">
        <v>15</v>
      </c>
      <c r="G13" s="8" t="s">
        <v>15</v>
      </c>
      <c r="H13" s="8" t="s">
        <v>15</v>
      </c>
      <c r="I13" s="8" t="s">
        <v>15</v>
      </c>
      <c r="J13" s="8" t="s">
        <v>16</v>
      </c>
      <c r="K13" s="8" t="s">
        <v>16</v>
      </c>
      <c r="L13" s="8" t="s">
        <v>15</v>
      </c>
      <c r="M13" s="8" t="s">
        <v>16</v>
      </c>
      <c r="N13" s="8" t="s">
        <v>15</v>
      </c>
      <c r="P13" s="7" t="s">
        <v>16</v>
      </c>
      <c r="Q13" s="7" t="s">
        <v>16</v>
      </c>
      <c r="R13" s="7" t="s">
        <v>15</v>
      </c>
      <c r="S13" s="7" t="s">
        <v>16</v>
      </c>
      <c r="T13" s="7" t="s">
        <v>15</v>
      </c>
      <c r="U13" s="7" t="s">
        <v>15</v>
      </c>
      <c r="V13" s="7" t="s">
        <v>15</v>
      </c>
      <c r="W13" s="7" t="s">
        <v>16</v>
      </c>
      <c r="X13" s="7" t="s">
        <v>15</v>
      </c>
      <c r="Y13" s="28">
        <f t="shared" si="2"/>
        <v>0.95</v>
      </c>
      <c r="Z13" s="7">
        <f>IF(ISBLANK(E13),"",IF(E13=Truth!B$25,1,0))
</f>
        <v>1</v>
      </c>
      <c r="AA13" s="7">
        <f>IF(ISBLANK(F13),"",IF(F13=Truth!C$25,1,0))
</f>
        <v>0</v>
      </c>
      <c r="AB13" s="7">
        <f>IF(ISBLANK(G13),"",IF(G13=Truth!D$25,1,0))
</f>
        <v>0</v>
      </c>
      <c r="AC13" s="7">
        <f>IF(ISBLANK(H13),"",IF(H13=Truth!E$25,1,0))
</f>
        <v>0</v>
      </c>
      <c r="AD13" s="7">
        <f>IF(ISBLANK(I13),"",IF(I13=Truth!F$25,1,0))
</f>
        <v>1</v>
      </c>
      <c r="AE13" s="7">
        <f>IF(ISBLANK(J13),"",IF(J13=Truth!G$25,1,0))
</f>
        <v>0</v>
      </c>
      <c r="AF13" s="7">
        <f>IF(ISBLANK(K13),"",IF(K13=Truth!H$25,1,0))
</f>
        <v>1</v>
      </c>
      <c r="AG13" s="7">
        <f>IF(ISBLANK(L13),"",IF(L13=Truth!I$25,1,0))
</f>
        <v>0</v>
      </c>
      <c r="AH13" s="7">
        <f>IF(ISBLANK(M13),"",IF(M13=Truth!J$25,1,0))
</f>
        <v>0</v>
      </c>
      <c r="AI13" s="7">
        <f>IF(ISBLANK(N13),"",IF(N13=Truth!K$25,1,0))
</f>
        <v>1</v>
      </c>
      <c r="AJ13" s="7" t="str">
        <f>IF(ISBLANK(O13),"",IF(O13=Truth!L$25,1,0))
</f>
        <v/>
      </c>
      <c r="AK13" s="7">
        <f>IF(ISBLANK(P13),"",IF(P13=Truth!M$25,1,0))
</f>
        <v>0</v>
      </c>
      <c r="AL13" s="7">
        <f>IF(ISBLANK(Q13),"",IF(Q13=Truth!N$25,1,0))
</f>
        <v>1</v>
      </c>
      <c r="AM13" s="7">
        <f>IF(ISBLANK(R13),"",IF(R13=Truth!O$25,1,0))
</f>
        <v>1</v>
      </c>
      <c r="AN13" s="7">
        <f>IF(ISBLANK(S13),"",IF(S13=Truth!P$25,1,0))
</f>
        <v>1</v>
      </c>
      <c r="AO13" s="7">
        <f>IF(ISBLANK(T13),"",IF(T13=Truth!Q$25,1,0))
</f>
        <v>1</v>
      </c>
      <c r="AP13" s="7">
        <f>IF(ISBLANK(U13),"",IF(U13=Truth!R$25,1,0))
</f>
        <v>0</v>
      </c>
      <c r="AQ13" s="7">
        <f>IF(ISBLANK(V13),"",IF(V13=Truth!S$25,1,0))
</f>
        <v>1</v>
      </c>
      <c r="AR13" s="7">
        <f>IF(ISBLANK(W13),"",IF(W13=Truth!T$25,1,0))
</f>
        <v>1</v>
      </c>
      <c r="AS13" s="7">
        <f>IF(ISBLANK(X13),"",IF(X13=Truth!U$25,1,0))
</f>
        <v>1</v>
      </c>
      <c r="AT13" s="7">
        <f t="shared" si="3"/>
        <v>0.5789473684</v>
      </c>
      <c r="AU13" s="7">
        <f t="array" ref="AU13">SUM(N(LEN(TRIM(Z13:AS13))&gt;0))</f>
        <v>19</v>
      </c>
      <c r="AV13" s="7">
        <f t="shared" si="4"/>
        <v>11</v>
      </c>
    </row>
    <row r="14">
      <c r="A14" s="8" t="s">
        <v>110</v>
      </c>
      <c r="B14" s="8" t="str">
        <f>IF(COUNTIF('Fieldwork W1'!$A$4:$A$22, A14) &gt; 0, "1", IF(COUNTIF('Fieldwork W1'!$A$28:$A$46, A14) &gt; 0, "2", ""))</f>
        <v>1</v>
      </c>
      <c r="C14" s="8" t="str">
        <f>IF(COUNTIF('Fieldwork W2'!$A$4:$A$22, A14) &gt; 0, "1", IF(COUNTIF('Fieldwork W2'!$A$28:$A$46, A14) &gt; 0, "2", ""))</f>
        <v>2</v>
      </c>
      <c r="D14" s="8" t="str">
        <f t="shared" si="1"/>
        <v>12</v>
      </c>
      <c r="E14" s="8" t="s">
        <v>15</v>
      </c>
      <c r="F14" s="8" t="s">
        <v>16</v>
      </c>
      <c r="G14" s="8" t="s">
        <v>16</v>
      </c>
      <c r="H14" s="8" t="s">
        <v>16</v>
      </c>
      <c r="I14" s="8" t="s">
        <v>16</v>
      </c>
      <c r="J14" s="8" t="s">
        <v>15</v>
      </c>
      <c r="K14" s="8" t="s">
        <v>15</v>
      </c>
      <c r="L14" s="8" t="s">
        <v>15</v>
      </c>
      <c r="M14" s="8" t="s">
        <v>16</v>
      </c>
      <c r="N14" s="8" t="s">
        <v>15</v>
      </c>
      <c r="O14" s="7" t="s">
        <v>16</v>
      </c>
      <c r="P14" s="7" t="s">
        <v>15</v>
      </c>
      <c r="Q14" s="7" t="s">
        <v>15</v>
      </c>
      <c r="R14" s="7" t="s">
        <v>15</v>
      </c>
      <c r="S14" s="7" t="s">
        <v>15</v>
      </c>
      <c r="T14" s="7" t="s">
        <v>15</v>
      </c>
      <c r="U14" s="7" t="s">
        <v>15</v>
      </c>
      <c r="V14" s="7" t="s">
        <v>15</v>
      </c>
      <c r="W14" s="7" t="s">
        <v>15</v>
      </c>
      <c r="X14" s="7" t="s">
        <v>15</v>
      </c>
      <c r="Y14" s="28">
        <f t="shared" si="2"/>
        <v>1</v>
      </c>
      <c r="Z14" s="7">
        <f>IF(ISBLANK(E14),"",IF(E14=Truth!B$23,1,0))
</f>
        <v>1</v>
      </c>
      <c r="AA14" s="7">
        <f>IF(ISBLANK(F14),"",IF(F14=Truth!C$23,1,0))
</f>
        <v>1</v>
      </c>
      <c r="AB14" s="7">
        <f>IF(ISBLANK(G14),"",IF(G14=Truth!D$23,1,0))
</f>
        <v>1</v>
      </c>
      <c r="AC14" s="7">
        <f>IF(ISBLANK(H14),"",IF(H14=Truth!E$23,1,0))
</f>
        <v>1</v>
      </c>
      <c r="AD14" s="7">
        <f>IF(ISBLANK(I14),"",IF(I14=Truth!F$23,1,0))
</f>
        <v>0</v>
      </c>
      <c r="AE14" s="7">
        <f>IF(ISBLANK(J14),"",IF(J14=Truth!G$23,1,0))
</f>
        <v>1</v>
      </c>
      <c r="AF14" s="7">
        <f>IF(ISBLANK(K14),"",IF(K14=Truth!H$23,1,0))
</f>
        <v>1</v>
      </c>
      <c r="AG14" s="7">
        <f>IF(ISBLANK(L14),"",IF(L14=Truth!I$23,1,0))
</f>
        <v>0</v>
      </c>
      <c r="AH14" s="7">
        <f>IF(ISBLANK(M14),"",IF(M14=Truth!J$23,1,0))
</f>
        <v>0</v>
      </c>
      <c r="AI14" s="7">
        <f>IF(ISBLANK(N14),"",IF(N14=Truth!K$23,1,0))
</f>
        <v>0</v>
      </c>
      <c r="AJ14" s="7">
        <f>IF(ISBLANK(O14),"",IF(O14=Truth!L$23,1,0))
</f>
        <v>1</v>
      </c>
      <c r="AK14" s="7">
        <f>IF(ISBLANK(P14),"",IF(P14=Truth!M$23,1,0))
</f>
        <v>1</v>
      </c>
      <c r="AL14" s="7">
        <f>IF(ISBLANK(Q14),"",IF(Q14=Truth!N$23,1,0))
</f>
        <v>0</v>
      </c>
      <c r="AM14" s="7">
        <f>IF(ISBLANK(R14),"",IF(R14=Truth!O$23,1,0))
</f>
        <v>1</v>
      </c>
      <c r="AN14" s="7">
        <f>IF(ISBLANK(S14),"",IF(S14=Truth!P$23,1,0))
</f>
        <v>0</v>
      </c>
      <c r="AO14" s="7">
        <f>IF(ISBLANK(T14),"",IF(T14=Truth!Q$23,1,0))
</f>
        <v>1</v>
      </c>
      <c r="AP14" s="7">
        <f>IF(ISBLANK(U14),"",IF(U14=Truth!R$23,1,0))
</f>
        <v>0</v>
      </c>
      <c r="AQ14" s="7">
        <f>IF(ISBLANK(V14),"",IF(V14=Truth!S$23,1,0))
</f>
        <v>1</v>
      </c>
      <c r="AR14" s="7">
        <f>IF(ISBLANK(W14),"",IF(W14=Truth!T$23,1,0))
</f>
        <v>0</v>
      </c>
      <c r="AS14" s="7">
        <f>IF(ISBLANK(X14),"",IF(X14=Truth!U$23,1,0))
</f>
        <v>1</v>
      </c>
      <c r="AT14" s="7">
        <f t="shared" si="3"/>
        <v>0.6</v>
      </c>
      <c r="AU14" s="7">
        <f t="array" ref="AU14">SUM(N(LEN(TRIM(Z14:AS14))&gt;0))</f>
        <v>20</v>
      </c>
      <c r="AV14" s="7">
        <f t="shared" si="4"/>
        <v>12</v>
      </c>
    </row>
    <row r="15">
      <c r="A15" s="8" t="s">
        <v>122</v>
      </c>
      <c r="B15" s="8" t="str">
        <f>IF(COUNTIF('Fieldwork W1'!$A$4:$A$22, A15) &gt; 0, "1", IF(COUNTIF('Fieldwork W1'!$A$28:$A$46, A15) &gt; 0, "2", ""))</f>
        <v>2</v>
      </c>
      <c r="C15" s="8" t="str">
        <f>IF(COUNTIF('Fieldwork W2'!$A$4:$A$22, A15) &gt; 0, "1", IF(COUNTIF('Fieldwork W2'!$A$28:$A$46, A15) &gt; 0, "2", ""))</f>
        <v>2</v>
      </c>
      <c r="D15" s="8" t="str">
        <f t="shared" si="1"/>
        <v>22</v>
      </c>
      <c r="E15" s="8" t="s">
        <v>15</v>
      </c>
      <c r="F15" s="8" t="s">
        <v>15</v>
      </c>
      <c r="G15" s="8" t="s">
        <v>16</v>
      </c>
      <c r="H15" s="8" t="s">
        <v>15</v>
      </c>
      <c r="I15" s="8" t="s">
        <v>15</v>
      </c>
      <c r="J15" s="8" t="s">
        <v>15</v>
      </c>
      <c r="K15" s="8" t="s">
        <v>16</v>
      </c>
      <c r="L15" s="8" t="s">
        <v>15</v>
      </c>
      <c r="M15" s="8" t="s">
        <v>15</v>
      </c>
      <c r="N15" s="8" t="s">
        <v>15</v>
      </c>
      <c r="O15" s="7" t="s">
        <v>15</v>
      </c>
      <c r="P15" s="7" t="s">
        <v>16</v>
      </c>
      <c r="Q15" s="7" t="s">
        <v>15</v>
      </c>
      <c r="R15" s="7" t="s">
        <v>15</v>
      </c>
      <c r="S15" s="7" t="s">
        <v>16</v>
      </c>
      <c r="T15" s="7" t="s">
        <v>16</v>
      </c>
      <c r="U15" s="7" t="s">
        <v>15</v>
      </c>
      <c r="V15" s="7" t="s">
        <v>15</v>
      </c>
      <c r="W15" s="7" t="s">
        <v>16</v>
      </c>
      <c r="X15" s="7" t="s">
        <v>15</v>
      </c>
      <c r="Y15" s="28">
        <f t="shared" si="2"/>
        <v>1</v>
      </c>
      <c r="Z15" s="7">
        <f>IF(ISBLANK(E15),"",IF(E15=Truth!B$25,1,0))
</f>
        <v>1</v>
      </c>
      <c r="AA15" s="7">
        <f>IF(ISBLANK(F15),"",IF(F15=Truth!C$25,1,0))
</f>
        <v>0</v>
      </c>
      <c r="AB15" s="7">
        <f>IF(ISBLANK(G15),"",IF(G15=Truth!D$25,1,0))
</f>
        <v>1</v>
      </c>
      <c r="AC15" s="7">
        <f>IF(ISBLANK(H15),"",IF(H15=Truth!E$25,1,0))
</f>
        <v>0</v>
      </c>
      <c r="AD15" s="7">
        <f>IF(ISBLANK(I15),"",IF(I15=Truth!F$25,1,0))
</f>
        <v>1</v>
      </c>
      <c r="AE15" s="7">
        <f>IF(ISBLANK(J15),"",IF(J15=Truth!G$25,1,0))
</f>
        <v>1</v>
      </c>
      <c r="AF15" s="7">
        <f>IF(ISBLANK(K15),"",IF(K15=Truth!H$25,1,0))
</f>
        <v>1</v>
      </c>
      <c r="AG15" s="7">
        <f>IF(ISBLANK(L15),"",IF(L15=Truth!I$25,1,0))
</f>
        <v>0</v>
      </c>
      <c r="AH15" s="7">
        <f>IF(ISBLANK(M15),"",IF(M15=Truth!J$25,1,0))
</f>
        <v>1</v>
      </c>
      <c r="AI15" s="7">
        <f>IF(ISBLANK(N15),"",IF(N15=Truth!K$25,1,0))
</f>
        <v>1</v>
      </c>
      <c r="AJ15" s="7">
        <f>IF(ISBLANK(O15),"",IF(O15=Truth!L$25,1,0))
</f>
        <v>0</v>
      </c>
      <c r="AK15" s="7">
        <f>IF(ISBLANK(P15),"",IF(P15=Truth!M$25,1,0))
</f>
        <v>0</v>
      </c>
      <c r="AL15" s="7">
        <f>IF(ISBLANK(Q15),"",IF(Q15=Truth!N$25,1,0))
</f>
        <v>0</v>
      </c>
      <c r="AM15" s="7">
        <f>IF(ISBLANK(R15),"",IF(R15=Truth!O$25,1,0))
</f>
        <v>1</v>
      </c>
      <c r="AN15" s="7">
        <f>IF(ISBLANK(S15),"",IF(S15=Truth!P$25,1,0))
</f>
        <v>1</v>
      </c>
      <c r="AO15" s="7">
        <f>IF(ISBLANK(T15),"",IF(T15=Truth!Q$25,1,0))
</f>
        <v>0</v>
      </c>
      <c r="AP15" s="7">
        <f>IF(ISBLANK(U15),"",IF(U15=Truth!R$25,1,0))
</f>
        <v>0</v>
      </c>
      <c r="AQ15" s="7">
        <f>IF(ISBLANK(V15),"",IF(V15=Truth!S$25,1,0))
</f>
        <v>1</v>
      </c>
      <c r="AR15" s="7">
        <f>IF(ISBLANK(W15),"",IF(W15=Truth!T$25,1,0))
</f>
        <v>1</v>
      </c>
      <c r="AS15" s="7">
        <f>IF(ISBLANK(X15),"",IF(X15=Truth!U$25,1,0))
</f>
        <v>1</v>
      </c>
      <c r="AT15" s="7">
        <f t="shared" si="3"/>
        <v>0.6</v>
      </c>
      <c r="AU15" s="7">
        <f t="array" ref="AU15">SUM(N(LEN(TRIM(Z15:AS15))&gt;0))</f>
        <v>20</v>
      </c>
      <c r="AV15" s="7">
        <f t="shared" si="4"/>
        <v>12</v>
      </c>
    </row>
    <row r="16">
      <c r="A16" s="8" t="s">
        <v>100</v>
      </c>
      <c r="B16" s="8" t="str">
        <f>IF(COUNTIF('Fieldwork W1'!$A$4:$A$22, A16) &gt; 0, "1", IF(COUNTIF('Fieldwork W1'!$A$28:$A$46, A16) &gt; 0, "2", ""))</f>
        <v>1</v>
      </c>
      <c r="C16" s="8" t="str">
        <f>IF(COUNTIF('Fieldwork W2'!$A$4:$A$22, A16) &gt; 0, "1", IF(COUNTIF('Fieldwork W2'!$A$28:$A$46, A16) &gt; 0, "2", ""))</f>
        <v>2</v>
      </c>
      <c r="D16" s="8" t="str">
        <f t="shared" si="1"/>
        <v>12</v>
      </c>
      <c r="E16" s="8" t="s">
        <v>15</v>
      </c>
      <c r="F16" s="8" t="s">
        <v>16</v>
      </c>
      <c r="G16" s="8" t="s">
        <v>16</v>
      </c>
      <c r="H16" s="8" t="s">
        <v>16</v>
      </c>
      <c r="I16" s="8" t="s">
        <v>15</v>
      </c>
      <c r="J16" s="8" t="s">
        <v>16</v>
      </c>
      <c r="L16" s="8" t="s">
        <v>16</v>
      </c>
      <c r="M16" s="8" t="s">
        <v>16</v>
      </c>
      <c r="N16" s="8" t="s">
        <v>15</v>
      </c>
      <c r="O16" s="7" t="s">
        <v>15</v>
      </c>
      <c r="P16" s="7" t="s">
        <v>15</v>
      </c>
      <c r="Q16" s="7" t="s">
        <v>16</v>
      </c>
      <c r="R16" s="7" t="s">
        <v>15</v>
      </c>
      <c r="T16" s="7" t="s">
        <v>16</v>
      </c>
      <c r="U16" s="7" t="s">
        <v>15</v>
      </c>
      <c r="V16" s="7" t="s">
        <v>15</v>
      </c>
      <c r="W16" s="7" t="s">
        <v>15</v>
      </c>
      <c r="X16" s="7" t="s">
        <v>15</v>
      </c>
      <c r="Y16" s="28">
        <f t="shared" si="2"/>
        <v>0.9</v>
      </c>
      <c r="Z16" s="7">
        <f>IF(ISBLANK(E16),"",IF(E16=Truth!B$23,1,0))
</f>
        <v>1</v>
      </c>
      <c r="AA16" s="7">
        <f>IF(ISBLANK(F16),"",IF(F16=Truth!C$23,1,0))
</f>
        <v>1</v>
      </c>
      <c r="AB16" s="7">
        <f>IF(ISBLANK(G16),"",IF(G16=Truth!D$23,1,0))
</f>
        <v>1</v>
      </c>
      <c r="AC16" s="7">
        <f>IF(ISBLANK(H16),"",IF(H16=Truth!E$23,1,0))
</f>
        <v>1</v>
      </c>
      <c r="AD16" s="7">
        <f>IF(ISBLANK(I16),"",IF(I16=Truth!F$23,1,0))
</f>
        <v>1</v>
      </c>
      <c r="AE16" s="7">
        <f>IF(ISBLANK(J16),"",IF(J16=Truth!G$23,1,0))
</f>
        <v>0</v>
      </c>
      <c r="AF16" s="7" t="str">
        <f>IF(ISBLANK(K16),"",IF(K16=Truth!H$23,1,0))
</f>
        <v/>
      </c>
      <c r="AG16" s="7">
        <f>IF(ISBLANK(L16),"",IF(L16=Truth!I$23,1,0))
</f>
        <v>1</v>
      </c>
      <c r="AH16" s="7">
        <f>IF(ISBLANK(M16),"",IF(M16=Truth!J$23,1,0))
</f>
        <v>0</v>
      </c>
      <c r="AI16" s="7">
        <f>IF(ISBLANK(N16),"",IF(N16=Truth!K$23,1,0))
</f>
        <v>0</v>
      </c>
      <c r="AJ16" s="7">
        <f>IF(ISBLANK(O16),"",IF(O16=Truth!L$23,1,0))
</f>
        <v>0</v>
      </c>
      <c r="AK16" s="7">
        <f>IF(ISBLANK(P16),"",IF(P16=Truth!M$23,1,0))
</f>
        <v>1</v>
      </c>
      <c r="AL16" s="7">
        <f>IF(ISBLANK(Q16),"",IF(Q16=Truth!N$23,1,0))
</f>
        <v>1</v>
      </c>
      <c r="AM16" s="7">
        <f>IF(ISBLANK(R16),"",IF(R16=Truth!O$23,1,0))
</f>
        <v>1</v>
      </c>
      <c r="AN16" s="7" t="str">
        <f>IF(ISBLANK(S16),"",IF(S16=Truth!P$23,1,0))
</f>
        <v/>
      </c>
      <c r="AO16" s="7">
        <f>IF(ISBLANK(T16),"",IF(T16=Truth!Q$23,1,0))
</f>
        <v>0</v>
      </c>
      <c r="AP16" s="7">
        <f>IF(ISBLANK(U16),"",IF(U16=Truth!R$23,1,0))
</f>
        <v>0</v>
      </c>
      <c r="AQ16" s="7">
        <f>IF(ISBLANK(V16),"",IF(V16=Truth!S$23,1,0))
</f>
        <v>1</v>
      </c>
      <c r="AR16" s="7">
        <f>IF(ISBLANK(W16),"",IF(W16=Truth!T$23,1,0))
</f>
        <v>0</v>
      </c>
      <c r="AS16" s="7">
        <f>IF(ISBLANK(X16),"",IF(X16=Truth!U$23,1,0))
</f>
        <v>1</v>
      </c>
      <c r="AT16" s="7">
        <f t="shared" si="3"/>
        <v>0.6111111111</v>
      </c>
      <c r="AU16" s="7">
        <f t="array" ref="AU16">SUM(N(LEN(TRIM(Z16:AS16))&gt;0))</f>
        <v>18</v>
      </c>
      <c r="AV16" s="7">
        <f t="shared" si="4"/>
        <v>11</v>
      </c>
    </row>
    <row r="17">
      <c r="A17" s="8" t="s">
        <v>120</v>
      </c>
      <c r="B17" s="8" t="str">
        <f>IF(COUNTIF('Fieldwork W1'!$A$4:$A$22, A17) &gt; 0, "1", IF(COUNTIF('Fieldwork W1'!$A$28:$A$46, A17) &gt; 0, "2", ""))</f>
        <v>2</v>
      </c>
      <c r="C17" s="8" t="str">
        <f>IF(COUNTIF('Fieldwork W2'!$A$4:$A$22, A17) &gt; 0, "1", IF(COUNTIF('Fieldwork W2'!$A$28:$A$46, A17) &gt; 0, "2", ""))</f>
        <v>2</v>
      </c>
      <c r="D17" s="8" t="str">
        <f t="shared" si="1"/>
        <v>22</v>
      </c>
      <c r="E17" s="8" t="s">
        <v>15</v>
      </c>
      <c r="F17" s="8" t="s">
        <v>16</v>
      </c>
      <c r="G17" s="8" t="s">
        <v>16</v>
      </c>
      <c r="H17" s="8" t="s">
        <v>15</v>
      </c>
      <c r="I17" s="8" t="s">
        <v>16</v>
      </c>
      <c r="J17" s="8" t="s">
        <v>15</v>
      </c>
      <c r="K17" s="8" t="s">
        <v>15</v>
      </c>
      <c r="L17" s="8" t="s">
        <v>15</v>
      </c>
      <c r="M17" s="8" t="s">
        <v>15</v>
      </c>
      <c r="N17" s="8" t="s">
        <v>15</v>
      </c>
      <c r="O17" s="7" t="s">
        <v>15</v>
      </c>
      <c r="P17" s="7" t="s">
        <v>15</v>
      </c>
      <c r="Q17" s="7" t="s">
        <v>15</v>
      </c>
      <c r="R17" s="7" t="s">
        <v>15</v>
      </c>
      <c r="S17" s="7" t="s">
        <v>16</v>
      </c>
      <c r="U17" s="7" t="s">
        <v>16</v>
      </c>
      <c r="V17" s="7" t="s">
        <v>15</v>
      </c>
      <c r="W17" s="7" t="s">
        <v>15</v>
      </c>
      <c r="X17" s="7" t="s">
        <v>15</v>
      </c>
      <c r="Y17" s="28">
        <f t="shared" si="2"/>
        <v>0.95</v>
      </c>
      <c r="Z17" s="7">
        <f>IF(ISBLANK(E17),"",IF(E17=Truth!B$25,1,0))
</f>
        <v>1</v>
      </c>
      <c r="AA17" s="7">
        <f>IF(ISBLANK(F17),"",IF(F17=Truth!C$25,1,0))
</f>
        <v>1</v>
      </c>
      <c r="AB17" s="7">
        <f>IF(ISBLANK(G17),"",IF(G17=Truth!D$25,1,0))
</f>
        <v>1</v>
      </c>
      <c r="AC17" s="7">
        <f>IF(ISBLANK(H17),"",IF(H17=Truth!E$25,1,0))
</f>
        <v>0</v>
      </c>
      <c r="AD17" s="7">
        <f>IF(ISBLANK(I17),"",IF(I17=Truth!F$25,1,0))
</f>
        <v>0</v>
      </c>
      <c r="AE17" s="7">
        <f>IF(ISBLANK(J17),"",IF(J17=Truth!G$25,1,0))
</f>
        <v>1</v>
      </c>
      <c r="AF17" s="7">
        <f>IF(ISBLANK(K17),"",IF(K17=Truth!H$25,1,0))
</f>
        <v>0</v>
      </c>
      <c r="AG17" s="7">
        <f>IF(ISBLANK(L17),"",IF(L17=Truth!I$25,1,0))
</f>
        <v>0</v>
      </c>
      <c r="AH17" s="7">
        <f>IF(ISBLANK(M17),"",IF(M17=Truth!J$25,1,0))
</f>
        <v>1</v>
      </c>
      <c r="AI17" s="7">
        <f>IF(ISBLANK(N17),"",IF(N17=Truth!K$25,1,0))
</f>
        <v>1</v>
      </c>
      <c r="AJ17" s="7">
        <f>IF(ISBLANK(O17),"",IF(O17=Truth!L$25,1,0))
</f>
        <v>0</v>
      </c>
      <c r="AK17" s="7">
        <f>IF(ISBLANK(P17),"",IF(P17=Truth!M$25,1,0))
</f>
        <v>1</v>
      </c>
      <c r="AL17" s="7">
        <f>IF(ISBLANK(Q17),"",IF(Q17=Truth!N$25,1,0))
</f>
        <v>0</v>
      </c>
      <c r="AM17" s="7">
        <f>IF(ISBLANK(R17),"",IF(R17=Truth!O$25,1,0))
</f>
        <v>1</v>
      </c>
      <c r="AN17" s="7">
        <f>IF(ISBLANK(S17),"",IF(S17=Truth!P$25,1,0))
</f>
        <v>1</v>
      </c>
      <c r="AO17" s="7" t="str">
        <f>IF(ISBLANK(T17),"",IF(T17=Truth!Q$25,1,0))
</f>
        <v/>
      </c>
      <c r="AP17" s="7">
        <f>IF(ISBLANK(U17),"",IF(U17=Truth!R$25,1,0))
</f>
        <v>1</v>
      </c>
      <c r="AQ17" s="7">
        <f>IF(ISBLANK(V17),"",IF(V17=Truth!S$25,1,0))
</f>
        <v>1</v>
      </c>
      <c r="AR17" s="7">
        <f>IF(ISBLANK(W17),"",IF(W17=Truth!T$25,1,0))
</f>
        <v>0</v>
      </c>
      <c r="AS17" s="7">
        <f>IF(ISBLANK(X17),"",IF(X17=Truth!U$25,1,0))
</f>
        <v>1</v>
      </c>
      <c r="AT17" s="7">
        <f t="shared" si="3"/>
        <v>0.6315789474</v>
      </c>
      <c r="AU17" s="7">
        <f t="array" ref="AU17">SUM(N(LEN(TRIM(Z17:AS17))&gt;0))</f>
        <v>19</v>
      </c>
      <c r="AV17" s="7">
        <f t="shared" si="4"/>
        <v>12</v>
      </c>
    </row>
    <row r="18">
      <c r="A18" s="8" t="s">
        <v>105</v>
      </c>
      <c r="B18" s="8" t="str">
        <f>IF(COUNTIF('Fieldwork W1'!$A$4:$A$22, A18) &gt; 0, "1", IF(COUNTIF('Fieldwork W1'!$A$28:$A$46, A18) &gt; 0, "2", ""))</f>
        <v>1</v>
      </c>
      <c r="C18" s="8" t="str">
        <f>IF(COUNTIF('Fieldwork W2'!$A$4:$A$22, A18) &gt; 0, "1", IF(COUNTIF('Fieldwork W2'!$A$28:$A$46, A18) &gt; 0, "2", ""))</f>
        <v>2</v>
      </c>
      <c r="D18" s="8" t="str">
        <f t="shared" si="1"/>
        <v>12</v>
      </c>
      <c r="F18" s="8" t="s">
        <v>15</v>
      </c>
      <c r="G18" s="8" t="s">
        <v>16</v>
      </c>
      <c r="H18" s="8" t="s">
        <v>15</v>
      </c>
      <c r="I18" s="8" t="s">
        <v>15</v>
      </c>
      <c r="J18" s="8" t="s">
        <v>15</v>
      </c>
      <c r="K18" s="8" t="s">
        <v>15</v>
      </c>
      <c r="L18" s="8" t="s">
        <v>16</v>
      </c>
      <c r="M18" s="8" t="s">
        <v>15</v>
      </c>
      <c r="N18" s="8" t="s">
        <v>15</v>
      </c>
      <c r="Y18" s="28">
        <f t="shared" si="2"/>
        <v>0.45</v>
      </c>
      <c r="Z18" s="7" t="str">
        <f>IF(ISBLANK(E18),"",IF(E18=Truth!B$22,1,0))
</f>
        <v/>
      </c>
      <c r="AA18" s="7">
        <f>IF(ISBLANK(F18),"",IF(F18=Truth!C$22,1,0))
</f>
        <v>0</v>
      </c>
      <c r="AB18" s="7">
        <f>IF(ISBLANK(G18),"",IF(G18=Truth!D$22,1,0))
</f>
        <v>1</v>
      </c>
      <c r="AC18" s="7">
        <f>IF(ISBLANK(H18),"",IF(H18=Truth!E$22,1,0))
</f>
        <v>0</v>
      </c>
      <c r="AD18" s="7">
        <f>IF(ISBLANK(I18),"",IF(I18=Truth!F$22,1,0))
</f>
        <v>1</v>
      </c>
      <c r="AE18" s="7">
        <f>IF(ISBLANK(J18),"",IF(J18=Truth!G$22,1,0))
</f>
        <v>1</v>
      </c>
      <c r="AF18" s="7">
        <f>IF(ISBLANK(K18),"",IF(K18=Truth!H$22,1,0))
</f>
        <v>1</v>
      </c>
      <c r="AG18" s="7">
        <f>IF(ISBLANK(L18),"",IF(L18=Truth!I$22,1,0))
</f>
        <v>1</v>
      </c>
      <c r="AH18" s="7">
        <f>IF(ISBLANK(M18),"",IF(M18=Truth!J$22,1,0))
</f>
        <v>1</v>
      </c>
      <c r="AI18" s="7">
        <f>IF(ISBLANK(N18),"",IF(N18=Truth!K$22,1,0))
</f>
        <v>0</v>
      </c>
      <c r="AJ18" s="7" t="str">
        <f>IF(ISBLANK(O18),"",IF(O18=Truth!L$22,1,0))
</f>
        <v/>
      </c>
      <c r="AK18" s="7" t="str">
        <f>IF(ISBLANK(P18),"",IF(P18=Truth!M$22,1,0))
</f>
        <v/>
      </c>
      <c r="AL18" s="7" t="str">
        <f>IF(ISBLANK(Q18),"",IF(Q18=Truth!N$22,1,0))
</f>
        <v/>
      </c>
      <c r="AM18" s="7" t="str">
        <f>IF(ISBLANK(R18),"",IF(R18=Truth!O$22,1,0))
</f>
        <v/>
      </c>
      <c r="AN18" s="7" t="str">
        <f>IF(ISBLANK(S18),"",IF(S18=Truth!P$22,1,0))
</f>
        <v/>
      </c>
      <c r="AO18" s="7" t="str">
        <f>IF(ISBLANK(T18),"",IF(T18=Truth!Q$22,1,0))
</f>
        <v/>
      </c>
      <c r="AP18" s="7" t="str">
        <f>IF(ISBLANK(U18),"",IF(U18=Truth!R$22,1,0))
</f>
        <v/>
      </c>
      <c r="AQ18" s="7" t="str">
        <f>IF(ISBLANK(V18),"",IF(V18=Truth!S$22,1,0))
</f>
        <v/>
      </c>
      <c r="AR18" s="7" t="str">
        <f>IF(ISBLANK(W18),"",IF(W18=Truth!T$22,1,0))
</f>
        <v/>
      </c>
      <c r="AS18" s="7" t="str">
        <f>IF(ISBLANK(X18),"",IF(X18=Truth!U$22,1,0))
</f>
        <v/>
      </c>
      <c r="AT18" s="7">
        <f t="shared" si="3"/>
        <v>0.6666666667</v>
      </c>
      <c r="AU18" s="7">
        <f t="array" ref="AU18">SUM(N(LEN(TRIM(Z18:AS18))&gt;0))</f>
        <v>9</v>
      </c>
      <c r="AV18" s="7">
        <f t="shared" si="4"/>
        <v>6</v>
      </c>
    </row>
    <row r="19">
      <c r="A19" s="8" t="s">
        <v>133</v>
      </c>
      <c r="B19" s="8" t="str">
        <f>IF(COUNTIF('Fieldwork W1'!$A$4:$A$22, A19) &gt; 0, "1", IF(COUNTIF('Fieldwork W1'!$A$28:$A$46, A19) &gt; 0, "2", ""))</f>
        <v>2</v>
      </c>
      <c r="C19" s="8" t="str">
        <f>IF(COUNTIF('Fieldwork W2'!$A$4:$A$22, A19) &gt; 0, "1", IF(COUNTIF('Fieldwork W2'!$A$28:$A$46, A19) &gt; 0, "2", ""))</f>
        <v>2</v>
      </c>
      <c r="D19" s="8" t="str">
        <f t="shared" si="1"/>
        <v>22</v>
      </c>
      <c r="L19" s="8" t="s">
        <v>15</v>
      </c>
      <c r="M19" s="8" t="s">
        <v>15</v>
      </c>
      <c r="N19" s="8" t="s">
        <v>16</v>
      </c>
      <c r="O19" s="7" t="s">
        <v>16</v>
      </c>
      <c r="P19" s="7" t="s">
        <v>15</v>
      </c>
      <c r="Q19" s="7" t="s">
        <v>15</v>
      </c>
      <c r="S19" s="7" t="s">
        <v>15</v>
      </c>
      <c r="T19" s="7" t="s">
        <v>15</v>
      </c>
      <c r="U19" s="7" t="s">
        <v>16</v>
      </c>
      <c r="V19" s="7" t="s">
        <v>15</v>
      </c>
      <c r="W19" s="7" t="s">
        <v>15</v>
      </c>
      <c r="X19" s="7" t="s">
        <v>15</v>
      </c>
      <c r="Y19" s="28">
        <f t="shared" si="2"/>
        <v>0.6</v>
      </c>
      <c r="Z19" s="7" t="str">
        <f>IF(ISBLANK(E19),"",IF(E19=Truth!B$23,1,0))
</f>
        <v/>
      </c>
      <c r="AA19" s="7" t="str">
        <f>IF(ISBLANK(F19),"",IF(F19=Truth!C$23,1,0))
</f>
        <v/>
      </c>
      <c r="AB19" s="7" t="str">
        <f>IF(ISBLANK(G19),"",IF(G19=Truth!D$23,1,0))
</f>
        <v/>
      </c>
      <c r="AC19" s="7" t="str">
        <f>IF(ISBLANK(H19),"",IF(H19=Truth!E$23,1,0))
</f>
        <v/>
      </c>
      <c r="AD19" s="7" t="str">
        <f>IF(ISBLANK(I19),"",IF(I19=Truth!F$23,1,0))
</f>
        <v/>
      </c>
      <c r="AE19" s="7" t="str">
        <f>IF(ISBLANK(J19),"",IF(J19=Truth!G$23,1,0))
</f>
        <v/>
      </c>
      <c r="AF19" s="7" t="str">
        <f>IF(ISBLANK(K19),"",IF(K19=Truth!H$23,1,0))
</f>
        <v/>
      </c>
      <c r="AG19" s="7">
        <f>IF(ISBLANK(L19),"",IF(L19=Truth!I$23,1,0))
</f>
        <v>0</v>
      </c>
      <c r="AH19" s="7">
        <f>IF(ISBLANK(M19),"",IF(M19=Truth!J$23,1,0))
</f>
        <v>1</v>
      </c>
      <c r="AI19" s="7">
        <f>IF(ISBLANK(N19),"",IF(N19=Truth!K$23,1,0))
</f>
        <v>1</v>
      </c>
      <c r="AJ19" s="7">
        <f>IF(ISBLANK(O19),"",IF(O19=Truth!L$23,1,0))
</f>
        <v>1</v>
      </c>
      <c r="AK19" s="7">
        <f>IF(ISBLANK(P19),"",IF(P19=Truth!M$23,1,0))
</f>
        <v>1</v>
      </c>
      <c r="AL19" s="7">
        <f>IF(ISBLANK(Q19),"",IF(Q19=Truth!N$23,1,0))
</f>
        <v>0</v>
      </c>
      <c r="AM19" s="7" t="str">
        <f>IF(ISBLANK(R19),"",IF(R19=Truth!O$23,1,0))
</f>
        <v/>
      </c>
      <c r="AN19" s="7">
        <f>IF(ISBLANK(S19),"",IF(S19=Truth!P$23,1,0))
</f>
        <v>0</v>
      </c>
      <c r="AO19" s="7">
        <f>IF(ISBLANK(T19),"",IF(T19=Truth!Q$23,1,0))
</f>
        <v>1</v>
      </c>
      <c r="AP19" s="7">
        <f>IF(ISBLANK(U19),"",IF(U19=Truth!R$23,1,0))
</f>
        <v>1</v>
      </c>
      <c r="AQ19" s="7">
        <f>IF(ISBLANK(V19),"",IF(V19=Truth!S$23,1,0))
</f>
        <v>1</v>
      </c>
      <c r="AR19" s="7">
        <f>IF(ISBLANK(W19),"",IF(W19=Truth!T$23,1,0))
</f>
        <v>0</v>
      </c>
      <c r="AS19" s="7">
        <f>IF(ISBLANK(X19),"",IF(X19=Truth!U$23,1,0))
</f>
        <v>1</v>
      </c>
      <c r="AT19" s="7">
        <f t="shared" si="3"/>
        <v>0.6666666667</v>
      </c>
      <c r="AU19" s="7">
        <f t="array" ref="AU19">SUM(N(LEN(TRIM(Z19:AS19))&gt;0))</f>
        <v>12</v>
      </c>
      <c r="AV19" s="7">
        <f t="shared" si="4"/>
        <v>8</v>
      </c>
    </row>
    <row r="20">
      <c r="A20" s="8" t="s">
        <v>97</v>
      </c>
      <c r="B20" s="8" t="str">
        <f>IF(COUNTIF('Fieldwork W1'!$A$4:$A$22, A20) &gt; 0, "1", IF(COUNTIF('Fieldwork W1'!$A$28:$A$46, A20) &gt; 0, "2", ""))</f>
        <v>1</v>
      </c>
      <c r="C20" s="8" t="str">
        <f>IF(COUNTIF('Fieldwork W2'!$A$4:$A$22, A20) &gt; 0, "1", IF(COUNTIF('Fieldwork W2'!$A$28:$A$46, A20) &gt; 0, "2", ""))</f>
        <v>2</v>
      </c>
      <c r="D20" s="8" t="str">
        <f t="shared" si="1"/>
        <v>12</v>
      </c>
      <c r="G20" s="8" t="s">
        <v>16</v>
      </c>
      <c r="H20" s="8" t="s">
        <v>16</v>
      </c>
      <c r="I20" s="8" t="s">
        <v>15</v>
      </c>
      <c r="J20" s="8" t="s">
        <v>15</v>
      </c>
      <c r="K20" s="8" t="s">
        <v>16</v>
      </c>
      <c r="L20" s="8" t="s">
        <v>15</v>
      </c>
      <c r="M20" s="8" t="s">
        <v>15</v>
      </c>
      <c r="N20" s="8" t="s">
        <v>15</v>
      </c>
      <c r="O20" s="7" t="s">
        <v>15</v>
      </c>
      <c r="P20" s="7" t="s">
        <v>15</v>
      </c>
      <c r="Q20" s="7" t="s">
        <v>15</v>
      </c>
      <c r="R20" s="7" t="s">
        <v>15</v>
      </c>
      <c r="S20" s="7" t="s">
        <v>15</v>
      </c>
      <c r="T20" s="7" t="s">
        <v>15</v>
      </c>
      <c r="U20" s="7" t="s">
        <v>15</v>
      </c>
      <c r="V20" s="7" t="s">
        <v>15</v>
      </c>
      <c r="W20" s="7" t="s">
        <v>15</v>
      </c>
      <c r="X20" s="7" t="s">
        <v>15</v>
      </c>
      <c r="Y20" s="28">
        <f t="shared" si="2"/>
        <v>0.9</v>
      </c>
      <c r="Z20" s="7" t="str">
        <f>IF(ISBLANK(E20),"",IF(E20=Truth!B$25,1,0))
</f>
        <v/>
      </c>
      <c r="AA20" s="7" t="str">
        <f>IF(ISBLANK(F20),"",IF(F20=Truth!C$25,1,0))
</f>
        <v/>
      </c>
      <c r="AB20" s="7">
        <f>IF(ISBLANK(G20),"",IF(G20=Truth!D$25,1,0))
</f>
        <v>1</v>
      </c>
      <c r="AC20" s="7">
        <f>IF(ISBLANK(H20),"",IF(H20=Truth!E$25,1,0))
</f>
        <v>1</v>
      </c>
      <c r="AD20" s="7">
        <f>IF(ISBLANK(I20),"",IF(I20=Truth!F$25,1,0))
</f>
        <v>1</v>
      </c>
      <c r="AE20" s="7">
        <f>IF(ISBLANK(J20),"",IF(J20=Truth!G$25,1,0))
</f>
        <v>1</v>
      </c>
      <c r="AF20" s="7">
        <f>IF(ISBLANK(K20),"",IF(K20=Truth!H$25,1,0))
</f>
        <v>1</v>
      </c>
      <c r="AG20" s="7">
        <f>IF(ISBLANK(L20),"",IF(L20=Truth!I$25,1,0))
</f>
        <v>0</v>
      </c>
      <c r="AH20" s="7">
        <f>IF(ISBLANK(M20),"",IF(M20=Truth!J$25,1,0))
</f>
        <v>1</v>
      </c>
      <c r="AI20" s="7">
        <f>IF(ISBLANK(N20),"",IF(N20=Truth!K$25,1,0))
</f>
        <v>1</v>
      </c>
      <c r="AJ20" s="7">
        <f>IF(ISBLANK(O20),"",IF(O20=Truth!L$25,1,0))
</f>
        <v>0</v>
      </c>
      <c r="AK20" s="7">
        <f>IF(ISBLANK(P20),"",IF(P20=Truth!M$25,1,0))
</f>
        <v>1</v>
      </c>
      <c r="AL20" s="7">
        <f>IF(ISBLANK(Q20),"",IF(Q20=Truth!N$25,1,0))
</f>
        <v>0</v>
      </c>
      <c r="AM20" s="7">
        <f>IF(ISBLANK(R20),"",IF(R20=Truth!O$25,1,0))
</f>
        <v>1</v>
      </c>
      <c r="AN20" s="7">
        <f>IF(ISBLANK(S20),"",IF(S20=Truth!P$25,1,0))
</f>
        <v>0</v>
      </c>
      <c r="AO20" s="7">
        <f>IF(ISBLANK(T20),"",IF(T20=Truth!Q$25,1,0))
</f>
        <v>1</v>
      </c>
      <c r="AP20" s="7">
        <f>IF(ISBLANK(U20),"",IF(U20=Truth!R$25,1,0))
</f>
        <v>0</v>
      </c>
      <c r="AQ20" s="7">
        <f>IF(ISBLANK(V20),"",IF(V20=Truth!S$25,1,0))
</f>
        <v>1</v>
      </c>
      <c r="AR20" s="7">
        <f>IF(ISBLANK(W20),"",IF(W20=Truth!T$25,1,0))
</f>
        <v>0</v>
      </c>
      <c r="AS20" s="7">
        <f>IF(ISBLANK(X20),"",IF(X20=Truth!U$25,1,0))
</f>
        <v>1</v>
      </c>
      <c r="AT20" s="7">
        <f t="shared" si="3"/>
        <v>0.6666666667</v>
      </c>
      <c r="AU20" s="7">
        <f t="array" ref="AU20">SUM(N(LEN(TRIM(Z20:AS20))&gt;0))</f>
        <v>18</v>
      </c>
      <c r="AV20" s="7">
        <f t="shared" si="4"/>
        <v>12</v>
      </c>
    </row>
    <row r="21">
      <c r="A21" s="8" t="s">
        <v>106</v>
      </c>
      <c r="B21" s="8" t="str">
        <f>IF(COUNTIF('Fieldwork W1'!$A$4:$A$22, A21) &gt; 0, "1", IF(COUNTIF('Fieldwork W1'!$A$28:$A$46, A21) &gt; 0, "2", ""))</f>
        <v>1</v>
      </c>
      <c r="C21" s="8" t="str">
        <f>IF(COUNTIF('Fieldwork W2'!$A$4:$A$22, A21) &gt; 0, "1", IF(COUNTIF('Fieldwork W2'!$A$28:$A$46, A21) &gt; 0, "2", ""))</f>
        <v>2</v>
      </c>
      <c r="D21" s="8" t="str">
        <f t="shared" si="1"/>
        <v>12</v>
      </c>
      <c r="E21" s="8" t="s">
        <v>16</v>
      </c>
      <c r="F21" s="8" t="s">
        <v>15</v>
      </c>
      <c r="G21" s="8" t="s">
        <v>16</v>
      </c>
      <c r="H21" s="8" t="s">
        <v>15</v>
      </c>
      <c r="I21" s="8" t="s">
        <v>15</v>
      </c>
      <c r="J21" s="8" t="s">
        <v>16</v>
      </c>
      <c r="K21" s="8" t="s">
        <v>16</v>
      </c>
      <c r="L21" s="8" t="s">
        <v>15</v>
      </c>
      <c r="M21" s="8" t="s">
        <v>15</v>
      </c>
      <c r="N21" s="8" t="s">
        <v>15</v>
      </c>
      <c r="O21" s="7" t="s">
        <v>15</v>
      </c>
      <c r="P21" s="7" t="s">
        <v>15</v>
      </c>
      <c r="Q21" s="7" t="s">
        <v>15</v>
      </c>
      <c r="R21" s="7" t="s">
        <v>15</v>
      </c>
      <c r="T21" s="7" t="s">
        <v>16</v>
      </c>
      <c r="U21" s="7" t="s">
        <v>15</v>
      </c>
      <c r="V21" s="7" t="s">
        <v>15</v>
      </c>
      <c r="W21" s="7" t="s">
        <v>15</v>
      </c>
      <c r="X21" s="7" t="s">
        <v>15</v>
      </c>
      <c r="Y21" s="28">
        <f t="shared" si="2"/>
        <v>0.95</v>
      </c>
      <c r="Z21" s="7">
        <f>IF(ISBLANK(E21),"",IF(E21=Truth!B$23,1,0))
</f>
        <v>0</v>
      </c>
      <c r="AA21" s="7">
        <f>IF(ISBLANK(F21),"",IF(F21=Truth!C$23,1,0))
</f>
        <v>0</v>
      </c>
      <c r="AB21" s="7">
        <f>IF(ISBLANK(G21),"",IF(G21=Truth!D$23,1,0))
</f>
        <v>1</v>
      </c>
      <c r="AC21" s="7">
        <f>IF(ISBLANK(H21),"",IF(H21=Truth!E$23,1,0))
</f>
        <v>0</v>
      </c>
      <c r="AD21" s="7">
        <f>IF(ISBLANK(I21),"",IF(I21=Truth!F$23,1,0))
</f>
        <v>1</v>
      </c>
      <c r="AE21" s="7">
        <f>IF(ISBLANK(J21),"",IF(J21=Truth!G$23,1,0))
</f>
        <v>0</v>
      </c>
      <c r="AF21" s="7">
        <f>IF(ISBLANK(K21),"",IF(K21=Truth!H$23,1,0))
</f>
        <v>0</v>
      </c>
      <c r="AG21" s="7">
        <f>IF(ISBLANK(L21),"",IF(L21=Truth!I$23,1,0))
</f>
        <v>0</v>
      </c>
      <c r="AH21" s="7">
        <f>IF(ISBLANK(M21),"",IF(M21=Truth!J$23,1,0))
</f>
        <v>1</v>
      </c>
      <c r="AI21" s="7">
        <f>IF(ISBLANK(N21),"",IF(N21=Truth!K$23,1,0))
</f>
        <v>0</v>
      </c>
      <c r="AJ21" s="7">
        <f>IF(ISBLANK(O21),"",IF(O21=Truth!L$23,1,0))
</f>
        <v>0</v>
      </c>
      <c r="AK21" s="7">
        <f>IF(ISBLANK(P21),"",IF(P21=Truth!M$23,1,0))
</f>
        <v>1</v>
      </c>
      <c r="AL21" s="7">
        <f>IF(ISBLANK(Q21),"",IF(Q21=Truth!N$23,1,0))
</f>
        <v>0</v>
      </c>
      <c r="AM21" s="7">
        <f>IF(ISBLANK(R21),"",IF(R21=Truth!O$23,1,0))
</f>
        <v>1</v>
      </c>
      <c r="AN21" s="7" t="str">
        <f>IF(ISBLANK(S21),"",IF(S21=Truth!P$23,1,0))
</f>
        <v/>
      </c>
      <c r="AO21" s="7">
        <f>IF(ISBLANK(T21),"",IF(T21=Truth!Q$23,1,0))
</f>
        <v>0</v>
      </c>
      <c r="AP21" s="7">
        <f>IF(ISBLANK(U21),"",IF(U21=Truth!R$23,1,0))
</f>
        <v>0</v>
      </c>
      <c r="AQ21" s="7">
        <f>IF(ISBLANK(V21),"",IF(V21=Truth!S$23,1,0))
</f>
        <v>1</v>
      </c>
      <c r="AR21" s="7">
        <f>IF(ISBLANK(W21),"",IF(W21=Truth!T$23,1,0))
</f>
        <v>0</v>
      </c>
      <c r="AS21" s="7">
        <f>IF(ISBLANK(X21),"",IF(X21=Truth!U$23,1,0))
</f>
        <v>1</v>
      </c>
      <c r="AT21" s="7">
        <f t="shared" si="3"/>
        <v>0.3684210526</v>
      </c>
      <c r="AU21" s="7">
        <f t="array" ref="AU21">SUM(N(LEN(TRIM(Z21:AS21))&gt;0))</f>
        <v>19</v>
      </c>
      <c r="AV21" s="7">
        <f t="shared" si="4"/>
        <v>7</v>
      </c>
    </row>
    <row r="22">
      <c r="A22" s="8" t="s">
        <v>88</v>
      </c>
      <c r="B22" s="8" t="str">
        <f>IF(COUNTIF('Fieldwork W1'!$A$4:$A$22, A22) &gt; 0, "1", IF(COUNTIF('Fieldwork W1'!$A$28:$A$46, A22) &gt; 0, "2", ""))</f>
        <v>1</v>
      </c>
      <c r="C22" s="8" t="str">
        <f>IF(COUNTIF('Fieldwork W2'!$A$4:$A$22, A22) &gt; 0, "1", IF(COUNTIF('Fieldwork W2'!$A$28:$A$46, A22) &gt; 0, "2", ""))</f>
        <v>1</v>
      </c>
      <c r="D22" s="8" t="str">
        <f t="shared" si="1"/>
        <v>11</v>
      </c>
      <c r="K22" s="8" t="s">
        <v>15</v>
      </c>
      <c r="L22" s="8" t="s">
        <v>16</v>
      </c>
      <c r="M22" s="8" t="s">
        <v>16</v>
      </c>
      <c r="N22" s="8" t="s">
        <v>15</v>
      </c>
      <c r="O22" s="7" t="s">
        <v>15</v>
      </c>
      <c r="P22" s="7" t="s">
        <v>16</v>
      </c>
      <c r="Q22" s="7" t="s">
        <v>15</v>
      </c>
      <c r="R22" s="7" t="s">
        <v>15</v>
      </c>
      <c r="S22" s="7" t="s">
        <v>16</v>
      </c>
      <c r="T22" s="7" t="s">
        <v>15</v>
      </c>
      <c r="U22" s="7" t="s">
        <v>15</v>
      </c>
      <c r="V22" s="7" t="s">
        <v>15</v>
      </c>
      <c r="W22" s="7" t="s">
        <v>15</v>
      </c>
      <c r="X22" s="7" t="s">
        <v>15</v>
      </c>
      <c r="Y22" s="28">
        <f t="shared" si="2"/>
        <v>0.7</v>
      </c>
      <c r="Z22" s="7" t="str">
        <f>IF(ISBLANK(E22),"",IF(E22=Truth!B$23,1,0))
</f>
        <v/>
      </c>
      <c r="AA22" s="7" t="str">
        <f>IF(ISBLANK(F22),"",IF(F22=Truth!C$23,1,0))
</f>
        <v/>
      </c>
      <c r="AB22" s="7" t="str">
        <f>IF(ISBLANK(G22),"",IF(G22=Truth!D$23,1,0))
</f>
        <v/>
      </c>
      <c r="AC22" s="7" t="str">
        <f>IF(ISBLANK(H22),"",IF(H22=Truth!E$23,1,0))
</f>
        <v/>
      </c>
      <c r="AD22" s="7" t="str">
        <f>IF(ISBLANK(I22),"",IF(I22=Truth!F$23,1,0))
</f>
        <v/>
      </c>
      <c r="AE22" s="7" t="str">
        <f>IF(ISBLANK(J22),"",IF(J22=Truth!G$23,1,0))
</f>
        <v/>
      </c>
      <c r="AF22" s="7">
        <f>IF(ISBLANK(K22),"",IF(K22=Truth!H$23,1,0))
</f>
        <v>1</v>
      </c>
      <c r="AG22" s="7">
        <f>IF(ISBLANK(L22),"",IF(L22=Truth!I$23,1,0))
</f>
        <v>1</v>
      </c>
      <c r="AH22" s="7">
        <f>IF(ISBLANK(M22),"",IF(M22=Truth!J$23,1,0))
</f>
        <v>0</v>
      </c>
      <c r="AI22" s="7">
        <f>IF(ISBLANK(N22),"",IF(N22=Truth!K$23,1,0))
</f>
        <v>0</v>
      </c>
      <c r="AJ22" s="7">
        <f>IF(ISBLANK(O22),"",IF(O22=Truth!L$23,1,0))
</f>
        <v>0</v>
      </c>
      <c r="AK22" s="7">
        <f>IF(ISBLANK(P22),"",IF(P22=Truth!M$23,1,0))
</f>
        <v>0</v>
      </c>
      <c r="AL22" s="7">
        <f>IF(ISBLANK(Q22),"",IF(Q22=Truth!N$23,1,0))
</f>
        <v>0</v>
      </c>
      <c r="AM22" s="7">
        <f>IF(ISBLANK(R22),"",IF(R22=Truth!O$23,1,0))
</f>
        <v>1</v>
      </c>
      <c r="AN22" s="7">
        <f>IF(ISBLANK(S22),"",IF(S22=Truth!P$23,1,0))
</f>
        <v>1</v>
      </c>
      <c r="AO22" s="7">
        <f>IF(ISBLANK(T22),"",IF(T22=Truth!Q$23,1,0))
</f>
        <v>1</v>
      </c>
      <c r="AP22" s="7">
        <f>IF(ISBLANK(U22),"",IF(U22=Truth!R$23,1,0))
</f>
        <v>0</v>
      </c>
      <c r="AQ22" s="7">
        <f>IF(ISBLANK(V22),"",IF(V22=Truth!S$23,1,0))
</f>
        <v>1</v>
      </c>
      <c r="AR22" s="7">
        <f>IF(ISBLANK(W22),"",IF(W22=Truth!T$23,1,0))
</f>
        <v>0</v>
      </c>
      <c r="AS22" s="7">
        <f>IF(ISBLANK(X22),"",IF(X22=Truth!U$23,1,0))
</f>
        <v>1</v>
      </c>
      <c r="AT22" s="7">
        <f t="shared" si="3"/>
        <v>0.5</v>
      </c>
      <c r="AU22" s="7">
        <f t="array" ref="AU22">SUM(N(LEN(TRIM(Z22:AS22))&gt;0))</f>
        <v>14</v>
      </c>
      <c r="AV22" s="7">
        <f t="shared" si="4"/>
        <v>7</v>
      </c>
    </row>
    <row r="23">
      <c r="A23" s="8" t="s">
        <v>92</v>
      </c>
      <c r="B23" s="8" t="str">
        <f>IF(COUNTIF('Fieldwork W1'!$A$4:$A$22, A23) &gt; 0, "1", IF(COUNTIF('Fieldwork W1'!$A$28:$A$46, A23) &gt; 0, "2", ""))</f>
        <v>2</v>
      </c>
      <c r="C23" s="8" t="str">
        <f>IF(COUNTIF('Fieldwork W2'!$A$4:$A$22, A23) &gt; 0, "1", IF(COUNTIF('Fieldwork W2'!$A$28:$A$46, A23) &gt; 0, "2", ""))</f>
        <v>1</v>
      </c>
      <c r="D23" s="8" t="str">
        <f t="shared" si="1"/>
        <v>21</v>
      </c>
      <c r="I23" s="8" t="s">
        <v>15</v>
      </c>
      <c r="J23" s="8" t="s">
        <v>15</v>
      </c>
      <c r="K23" s="8" t="s">
        <v>15</v>
      </c>
      <c r="L23" s="8" t="s">
        <v>15</v>
      </c>
      <c r="M23" s="8" t="s">
        <v>15</v>
      </c>
      <c r="N23" s="8" t="s">
        <v>15</v>
      </c>
      <c r="O23" s="7" t="s">
        <v>16</v>
      </c>
      <c r="P23" s="7" t="s">
        <v>15</v>
      </c>
      <c r="Q23" s="7" t="s">
        <v>15</v>
      </c>
      <c r="R23" s="7" t="s">
        <v>16</v>
      </c>
      <c r="S23" s="7" t="s">
        <v>15</v>
      </c>
      <c r="T23" s="7" t="s">
        <v>15</v>
      </c>
      <c r="U23" s="7" t="s">
        <v>15</v>
      </c>
      <c r="V23" s="7" t="s">
        <v>15</v>
      </c>
      <c r="W23" s="7" t="s">
        <v>15</v>
      </c>
      <c r="X23" s="7" t="s">
        <v>16</v>
      </c>
      <c r="Y23" s="28">
        <f t="shared" si="2"/>
        <v>0.8</v>
      </c>
      <c r="Z23" s="7" t="str">
        <f>IF(ISBLANK(E23),"",IF(E23=Truth!B$22,1,0))
</f>
        <v/>
      </c>
      <c r="AA23" s="7" t="str">
        <f>IF(ISBLANK(F23),"",IF(F23=Truth!C$22,1,0))
</f>
        <v/>
      </c>
      <c r="AB23" s="7" t="str">
        <f>IF(ISBLANK(G23),"",IF(G23=Truth!D$22,1,0))
</f>
        <v/>
      </c>
      <c r="AC23" s="7" t="str">
        <f>IF(ISBLANK(H23),"",IF(H23=Truth!E$22,1,0))
</f>
        <v/>
      </c>
      <c r="AD23" s="7">
        <f>IF(ISBLANK(I23),"",IF(I23=Truth!F$22,1,0))
</f>
        <v>1</v>
      </c>
      <c r="AE23" s="7">
        <f>IF(ISBLANK(J23),"",IF(J23=Truth!G$22,1,0))
</f>
        <v>1</v>
      </c>
      <c r="AF23" s="7">
        <f>IF(ISBLANK(K23),"",IF(K23=Truth!H$22,1,0))
</f>
        <v>1</v>
      </c>
      <c r="AG23" s="7">
        <f>IF(ISBLANK(L23),"",IF(L23=Truth!I$22,1,0))
</f>
        <v>0</v>
      </c>
      <c r="AH23" s="7">
        <f>IF(ISBLANK(M23),"",IF(M23=Truth!J$22,1,0))
</f>
        <v>1</v>
      </c>
      <c r="AI23" s="7">
        <f>IF(ISBLANK(N23),"",IF(N23=Truth!K$22,1,0))
</f>
        <v>0</v>
      </c>
      <c r="AJ23" s="7">
        <f>IF(ISBLANK(O23),"",IF(O23=Truth!L$22,1,0))
</f>
        <v>0</v>
      </c>
      <c r="AK23" s="7">
        <f>IF(ISBLANK(P23),"",IF(P23=Truth!M$22,1,0))
</f>
        <v>0</v>
      </c>
      <c r="AL23" s="7">
        <f>IF(ISBLANK(Q23),"",IF(Q23=Truth!N$22,1,0))
</f>
        <v>1</v>
      </c>
      <c r="AM23" s="7">
        <f>IF(ISBLANK(R23),"",IF(R23=Truth!O$22,1,0))
</f>
        <v>1</v>
      </c>
      <c r="AN23" s="7">
        <f>IF(ISBLANK(S23),"",IF(S23=Truth!P$22,1,0))
</f>
        <v>1</v>
      </c>
      <c r="AO23" s="7">
        <f>IF(ISBLANK(T23),"",IF(T23=Truth!Q$22,1,0))
</f>
        <v>0</v>
      </c>
      <c r="AP23" s="7">
        <f>IF(ISBLANK(U23),"",IF(U23=Truth!R$22,1,0))
</f>
        <v>0</v>
      </c>
      <c r="AQ23" s="7">
        <f>IF(ISBLANK(V23),"",IF(V23=Truth!S$22,1,0))
</f>
        <v>1</v>
      </c>
      <c r="AR23" s="7">
        <f>IF(ISBLANK(W23),"",IF(W23=Truth!T$22,1,0))
</f>
        <v>0</v>
      </c>
      <c r="AS23" s="7">
        <f>IF(ISBLANK(X23),"",IF(X23=Truth!U$22,1,0))
</f>
        <v>0</v>
      </c>
      <c r="AT23" s="7">
        <f t="shared" si="3"/>
        <v>0.5</v>
      </c>
      <c r="AU23" s="7">
        <f t="array" ref="AU23">SUM(N(LEN(TRIM(Z23:AS23))&gt;0))</f>
        <v>16</v>
      </c>
      <c r="AV23" s="7">
        <f t="shared" si="4"/>
        <v>8</v>
      </c>
    </row>
    <row r="24">
      <c r="A24" s="8" t="s">
        <v>135</v>
      </c>
      <c r="B24" s="8" t="str">
        <f>IF(COUNTIF('Fieldwork W1'!$A$4:$A$22, A24) &gt; 0, "1", IF(COUNTIF('Fieldwork W1'!$A$28:$A$46, A24) &gt; 0, "2", ""))</f>
        <v>2</v>
      </c>
      <c r="C24" s="8" t="str">
        <f>IF(COUNTIF('Fieldwork W2'!$A$4:$A$22, A24) &gt; 0, "1", IF(COUNTIF('Fieldwork W2'!$A$28:$A$46, A24) &gt; 0, "2", ""))</f>
        <v>2</v>
      </c>
      <c r="D24" s="8" t="str">
        <f t="shared" si="1"/>
        <v>22</v>
      </c>
      <c r="E24" s="8" t="s">
        <v>15</v>
      </c>
      <c r="F24" s="8" t="s">
        <v>16</v>
      </c>
      <c r="G24" s="8" t="s">
        <v>15</v>
      </c>
      <c r="H24" s="8" t="s">
        <v>16</v>
      </c>
      <c r="I24" s="8" t="s">
        <v>15</v>
      </c>
      <c r="J24" s="8" t="s">
        <v>15</v>
      </c>
      <c r="K24" s="8" t="s">
        <v>16</v>
      </c>
      <c r="L24" s="8"/>
      <c r="M24" s="8" t="s">
        <v>15</v>
      </c>
      <c r="N24" s="8" t="s">
        <v>15</v>
      </c>
      <c r="P24" s="7" t="s">
        <v>15</v>
      </c>
      <c r="Q24" s="7" t="s">
        <v>16</v>
      </c>
      <c r="R24" s="7" t="s">
        <v>16</v>
      </c>
      <c r="S24" s="7" t="s">
        <v>15</v>
      </c>
      <c r="T24" s="7" t="s">
        <v>16</v>
      </c>
      <c r="U24" s="7" t="s">
        <v>15</v>
      </c>
      <c r="V24" s="7" t="s">
        <v>15</v>
      </c>
      <c r="W24" s="7" t="s">
        <v>15</v>
      </c>
      <c r="X24" s="7" t="s">
        <v>15</v>
      </c>
      <c r="Y24" s="28">
        <f t="shared" si="2"/>
        <v>0.9</v>
      </c>
      <c r="Z24" s="7">
        <f>IF(ISBLANK(E24),"",IF(E24=Truth!B$24,1,0))
</f>
        <v>1</v>
      </c>
      <c r="AA24" s="7">
        <f>IF(ISBLANK(F24),"",IF(F24=Truth!C$24,1,0))
</f>
        <v>1</v>
      </c>
      <c r="AB24" s="7">
        <f>IF(ISBLANK(G24),"",IF(G24=Truth!D$24,1,0))
</f>
        <v>0</v>
      </c>
      <c r="AC24" s="7">
        <f>IF(ISBLANK(H24),"",IF(H24=Truth!E$24,1,0))
</f>
        <v>1</v>
      </c>
      <c r="AD24" s="7">
        <f>IF(ISBLANK(I24),"",IF(I24=Truth!F$24,1,0))
</f>
        <v>1</v>
      </c>
      <c r="AE24" s="7">
        <f>IF(ISBLANK(J24),"",IF(J24=Truth!G$24,1,0))
</f>
        <v>1</v>
      </c>
      <c r="AF24" s="7">
        <f>IF(ISBLANK(K24),"",IF(K24=Truth!H$24,1,0))
</f>
        <v>1</v>
      </c>
      <c r="AG24" s="7" t="str">
        <f>IF(ISBLANK(L24),"",IF(L24=Truth!I$24,1,0))
</f>
        <v/>
      </c>
      <c r="AH24" s="7">
        <f>IF(ISBLANK(M24),"",IF(M24=Truth!J$24,1,0))
</f>
        <v>1</v>
      </c>
      <c r="AI24" s="7">
        <f>IF(ISBLANK(N24),"",IF(N24=Truth!K$24,1,0))
</f>
        <v>1</v>
      </c>
      <c r="AJ24" s="7" t="str">
        <f>IF(ISBLANK(O24),"",IF(O24=Truth!L$24,1,0))
</f>
        <v/>
      </c>
      <c r="AK24" s="7">
        <f>IF(ISBLANK(P24),"",IF(P24=Truth!M$24,1,0))
</f>
        <v>0</v>
      </c>
      <c r="AL24" s="7">
        <f>IF(ISBLANK(Q24),"",IF(Q24=Truth!N$24,1,0))
</f>
        <v>0</v>
      </c>
      <c r="AM24" s="7">
        <f>IF(ISBLANK(R24),"",IF(R24=Truth!O$24,1,0))
</f>
        <v>1</v>
      </c>
      <c r="AN24" s="7">
        <f>IF(ISBLANK(S24),"",IF(S24=Truth!P$24,1,0))
</f>
        <v>1</v>
      </c>
      <c r="AO24" s="7">
        <f>IF(ISBLANK(T24),"",IF(T24=Truth!Q$24,1,0))
</f>
        <v>1</v>
      </c>
      <c r="AP24" s="7">
        <f>IF(ISBLANK(U24),"",IF(U24=Truth!R$24,1,0))
</f>
        <v>0</v>
      </c>
      <c r="AQ24" s="7">
        <f>IF(ISBLANK(V24),"",IF(V24=Truth!S$24,1,0))
</f>
        <v>1</v>
      </c>
      <c r="AR24" s="7">
        <f>IF(ISBLANK(W24),"",IF(W24=Truth!T$24,1,0))
</f>
        <v>0</v>
      </c>
      <c r="AS24" s="7">
        <f>IF(ISBLANK(X24),"",IF(X24=Truth!U$24,1,0))
</f>
        <v>1</v>
      </c>
      <c r="AT24" s="7">
        <f t="shared" si="3"/>
        <v>0.7222222222</v>
      </c>
      <c r="AU24" s="7">
        <f t="array" ref="AU24">SUM(N(LEN(TRIM(Z24:AS24))&gt;0))</f>
        <v>18</v>
      </c>
      <c r="AV24" s="7">
        <f t="shared" si="4"/>
        <v>13</v>
      </c>
    </row>
    <row r="25">
      <c r="A25" s="8" t="s">
        <v>94</v>
      </c>
      <c r="B25" s="8" t="str">
        <f>IF(COUNTIF('Fieldwork W1'!$A$4:$A$22, A25) &gt; 0, "1", IF(COUNTIF('Fieldwork W1'!$A$28:$A$46, A25) &gt; 0, "2", ""))</f>
        <v>1</v>
      </c>
      <c r="C25" s="8" t="str">
        <f>IF(COUNTIF('Fieldwork W2'!$A$4:$A$22, A25) &gt; 0, "1", IF(COUNTIF('Fieldwork W2'!$A$28:$A$46, A25) &gt; 0, "2", ""))</f>
        <v>1</v>
      </c>
      <c r="D25" s="8" t="str">
        <f t="shared" si="1"/>
        <v>11</v>
      </c>
      <c r="E25" s="8" t="s">
        <v>15</v>
      </c>
      <c r="F25" s="8" t="s">
        <v>16</v>
      </c>
      <c r="G25" s="8" t="s">
        <v>16</v>
      </c>
      <c r="H25" s="8" t="s">
        <v>15</v>
      </c>
      <c r="I25" s="8" t="s">
        <v>16</v>
      </c>
      <c r="J25" s="8" t="s">
        <v>15</v>
      </c>
      <c r="K25" s="8" t="s">
        <v>15</v>
      </c>
      <c r="L25" s="8" t="s">
        <v>15</v>
      </c>
      <c r="M25" s="8" t="s">
        <v>15</v>
      </c>
      <c r="N25" s="8" t="s">
        <v>15</v>
      </c>
      <c r="O25" s="8" t="s">
        <v>142</v>
      </c>
      <c r="W25" s="8" t="s">
        <v>15</v>
      </c>
      <c r="X25" s="8" t="s">
        <v>15</v>
      </c>
      <c r="Y25" s="28">
        <f t="shared" si="2"/>
        <v>0.6</v>
      </c>
      <c r="Z25" s="7">
        <f>IF(ISBLANK(E25),"",IF(E25=Truth!B$25,1,0))
</f>
        <v>1</v>
      </c>
      <c r="AA25" s="7">
        <f>IF(ISBLANK(F25),"",IF(F25=Truth!C$25,1,0))
</f>
        <v>1</v>
      </c>
      <c r="AB25" s="7">
        <f>IF(ISBLANK(G25),"",IF(G25=Truth!D$25,1,0))
</f>
        <v>1</v>
      </c>
      <c r="AC25" s="7">
        <f>IF(ISBLANK(H25),"",IF(H25=Truth!E$25,1,0))
</f>
        <v>0</v>
      </c>
      <c r="AD25" s="7">
        <f>IF(ISBLANK(I25),"",IF(I25=Truth!F$25,1,0))
</f>
        <v>0</v>
      </c>
      <c r="AE25" s="7">
        <f>IF(ISBLANK(J25),"",IF(J25=Truth!G$25,1,0))
</f>
        <v>1</v>
      </c>
      <c r="AF25" s="7">
        <f>IF(ISBLANK(K25),"",IF(K25=Truth!H$25,1,0))
</f>
        <v>0</v>
      </c>
      <c r="AG25" s="7">
        <f>IF(ISBLANK(L25),"",IF(L25=Truth!I$25,1,0))
</f>
        <v>0</v>
      </c>
      <c r="AH25" s="7">
        <f>IF(ISBLANK(M25),"",IF(M25=Truth!J$25,1,0))
</f>
        <v>1</v>
      </c>
      <c r="AI25" s="7">
        <f>IF(ISBLANK(N25),"",IF(N25=Truth!K$25,1,0))
</f>
        <v>1</v>
      </c>
      <c r="AJ25" s="7">
        <f>IF(ISBLANK(O25),"",IF(O25=Truth!L$25,1,0))
</f>
        <v>0</v>
      </c>
      <c r="AK25" s="7" t="str">
        <f>IF(ISBLANK(P25),"",IF(P25=Truth!M$25,1,0))
</f>
        <v/>
      </c>
      <c r="AL25" s="7" t="str">
        <f>IF(ISBLANK(Q25),"",IF(Q25=Truth!N$25,1,0))
</f>
        <v/>
      </c>
      <c r="AM25" s="7" t="str">
        <f>IF(ISBLANK(R25),"",IF(R25=Truth!O$25,1,0))
</f>
        <v/>
      </c>
      <c r="AN25" s="7" t="str">
        <f>IF(ISBLANK(S25),"",IF(S25=Truth!P$25,1,0))
</f>
        <v/>
      </c>
      <c r="AO25" s="7" t="str">
        <f>IF(ISBLANK(T25),"",IF(T25=Truth!Q$25,1,0))
</f>
        <v/>
      </c>
      <c r="AP25" s="7" t="str">
        <f>IF(ISBLANK(U25),"",IF(U25=Truth!R$25,1,0))
</f>
        <v/>
      </c>
      <c r="AQ25" s="7" t="str">
        <f>IF(ISBLANK(V25),"",IF(V25=Truth!S$25,1,0))
</f>
        <v/>
      </c>
      <c r="AR25" s="7">
        <f>IF(ISBLANK(W25),"",IF(W25=Truth!T$25,1,0))
</f>
        <v>0</v>
      </c>
      <c r="AS25" s="7">
        <f>IF(ISBLANK(X25),"",IF(X25=Truth!U$25,1,0))
</f>
        <v>1</v>
      </c>
      <c r="AT25" s="7">
        <f t="shared" si="3"/>
        <v>0.5384615385</v>
      </c>
      <c r="AU25" s="7">
        <f t="array" ref="AU25">SUM(N(LEN(TRIM(Z25:AS25))&gt;0))</f>
        <v>13</v>
      </c>
      <c r="AV25" s="7">
        <f t="shared" si="4"/>
        <v>7</v>
      </c>
    </row>
    <row r="26">
      <c r="A26" s="8" t="s">
        <v>119</v>
      </c>
      <c r="B26" s="8" t="str">
        <f>IF(COUNTIF('Fieldwork W1'!$A$4:$A$22, A26) &gt; 0, "1", IF(COUNTIF('Fieldwork W1'!$A$28:$A$46, A26) &gt; 0, "2", ""))</f>
        <v>2</v>
      </c>
      <c r="C26" s="8" t="str">
        <f>IF(COUNTIF('Fieldwork W2'!$A$4:$A$22, A26) &gt; 0, "1", IF(COUNTIF('Fieldwork W2'!$A$28:$A$46, A26) &gt; 0, "2", ""))</f>
        <v>2</v>
      </c>
      <c r="D26" s="8" t="str">
        <f t="shared" si="1"/>
        <v>22</v>
      </c>
      <c r="E26" s="8" t="s">
        <v>16</v>
      </c>
      <c r="F26" s="8" t="s">
        <v>16</v>
      </c>
      <c r="G26" s="8" t="s">
        <v>16</v>
      </c>
      <c r="H26" s="8"/>
      <c r="I26" s="8" t="s">
        <v>15</v>
      </c>
      <c r="J26" s="8" t="s">
        <v>15</v>
      </c>
      <c r="K26" s="8" t="s">
        <v>15</v>
      </c>
      <c r="L26" s="8" t="s">
        <v>16</v>
      </c>
      <c r="M26" s="8" t="s">
        <v>15</v>
      </c>
      <c r="N26" s="8" t="s">
        <v>16</v>
      </c>
      <c r="O26" s="7" t="s">
        <v>15</v>
      </c>
      <c r="P26" s="7" t="s">
        <v>16</v>
      </c>
      <c r="Q26" s="7" t="s">
        <v>16</v>
      </c>
      <c r="R26" s="7" t="s">
        <v>15</v>
      </c>
      <c r="S26" s="7" t="s">
        <v>15</v>
      </c>
      <c r="T26" s="7" t="s">
        <v>16</v>
      </c>
      <c r="U26" s="7" t="s">
        <v>16</v>
      </c>
      <c r="V26" s="7" t="s">
        <v>15</v>
      </c>
      <c r="W26" s="7" t="s">
        <v>15</v>
      </c>
      <c r="X26" s="7" t="s">
        <v>16</v>
      </c>
      <c r="Y26" s="28">
        <f t="shared" si="2"/>
        <v>0.95</v>
      </c>
      <c r="Z26" s="7">
        <f>IF(ISBLANK(E26),"",IF(E26=Truth!B$22,1,0))
</f>
        <v>0</v>
      </c>
      <c r="AA26" s="7">
        <f>IF(ISBLANK(F26),"",IF(F26=Truth!C$22,1,0))
</f>
        <v>1</v>
      </c>
      <c r="AB26" s="7">
        <f>IF(ISBLANK(G26),"",IF(G26=Truth!D$22,1,0))
</f>
        <v>1</v>
      </c>
      <c r="AC26" s="7" t="str">
        <f>IF(ISBLANK(H26),"",IF(H26=Truth!E$22,1,0))
</f>
        <v/>
      </c>
      <c r="AD26" s="7">
        <f>IF(ISBLANK(I26),"",IF(I26=Truth!F$22,1,0))
</f>
        <v>1</v>
      </c>
      <c r="AE26" s="7">
        <f>IF(ISBLANK(J26),"",IF(J26=Truth!G$22,1,0))
</f>
        <v>1</v>
      </c>
      <c r="AF26" s="7">
        <f>IF(ISBLANK(K26),"",IF(K26=Truth!H$22,1,0))
</f>
        <v>1</v>
      </c>
      <c r="AG26" s="7">
        <f>IF(ISBLANK(L26),"",IF(L26=Truth!I$22,1,0))
</f>
        <v>1</v>
      </c>
      <c r="AH26" s="7">
        <f>IF(ISBLANK(M26),"",IF(M26=Truth!J$22,1,0))
</f>
        <v>1</v>
      </c>
      <c r="AI26" s="7">
        <f>IF(ISBLANK(N26),"",IF(N26=Truth!K$22,1,0))
</f>
        <v>1</v>
      </c>
      <c r="AJ26" s="7">
        <f>IF(ISBLANK(O26),"",IF(O26=Truth!L$22,1,0))
</f>
        <v>1</v>
      </c>
      <c r="AK26" s="7">
        <f>IF(ISBLANK(P26),"",IF(P26=Truth!M$22,1,0))
</f>
        <v>1</v>
      </c>
      <c r="AL26" s="7">
        <f>IF(ISBLANK(Q26),"",IF(Q26=Truth!N$22,1,0))
</f>
        <v>0</v>
      </c>
      <c r="AM26" s="7">
        <f>IF(ISBLANK(R26),"",IF(R26=Truth!O$22,1,0))
</f>
        <v>0</v>
      </c>
      <c r="AN26" s="7">
        <f>IF(ISBLANK(S26),"",IF(S26=Truth!P$22,1,0))
</f>
        <v>1</v>
      </c>
      <c r="AO26" s="7">
        <f>IF(ISBLANK(T26),"",IF(T26=Truth!Q$22,1,0))
</f>
        <v>1</v>
      </c>
      <c r="AP26" s="7">
        <f>IF(ISBLANK(U26),"",IF(U26=Truth!R$22,1,0))
</f>
        <v>1</v>
      </c>
      <c r="AQ26" s="7">
        <f>IF(ISBLANK(V26),"",IF(V26=Truth!S$22,1,0))
</f>
        <v>1</v>
      </c>
      <c r="AR26" s="7">
        <f>IF(ISBLANK(W26),"",IF(W26=Truth!T$22,1,0))
</f>
        <v>0</v>
      </c>
      <c r="AS26" s="7">
        <f>IF(ISBLANK(X26),"",IF(X26=Truth!U$22,1,0))
</f>
        <v>0</v>
      </c>
      <c r="AT26" s="7">
        <f t="shared" si="3"/>
        <v>0.7368421053</v>
      </c>
      <c r="AU26" s="7">
        <f t="array" ref="AU26">SUM(N(LEN(TRIM(Z26:AS26))&gt;0))</f>
        <v>19</v>
      </c>
      <c r="AV26" s="7">
        <f t="shared" si="4"/>
        <v>14</v>
      </c>
    </row>
    <row r="27">
      <c r="A27" s="8" t="s">
        <v>99</v>
      </c>
      <c r="B27" s="8" t="str">
        <f>IF(COUNTIF('Fieldwork W1'!$A$4:$A$22, A27) &gt; 0, "1", IF(COUNTIF('Fieldwork W1'!$A$28:$A$46, A27) &gt; 0, "2", ""))</f>
        <v>2</v>
      </c>
      <c r="C27" s="8" t="str">
        <f>IF(COUNTIF('Fieldwork W2'!$A$4:$A$22, A27) &gt; 0, "1", IF(COUNTIF('Fieldwork W2'!$A$28:$A$46, A27) &gt; 0, "2", ""))</f>
        <v>1</v>
      </c>
      <c r="D27" s="8" t="str">
        <f t="shared" si="1"/>
        <v>21</v>
      </c>
      <c r="E27" s="8" t="s">
        <v>15</v>
      </c>
      <c r="F27" s="8" t="s">
        <v>16</v>
      </c>
      <c r="G27" s="8" t="s">
        <v>15</v>
      </c>
      <c r="H27" s="8" t="s">
        <v>16</v>
      </c>
      <c r="I27" s="8" t="s">
        <v>15</v>
      </c>
      <c r="J27" s="8" t="s">
        <v>15</v>
      </c>
      <c r="K27" s="8" t="s">
        <v>16</v>
      </c>
      <c r="L27" s="8" t="s">
        <v>15</v>
      </c>
      <c r="M27" s="8" t="s">
        <v>15</v>
      </c>
      <c r="N27" s="8" t="s">
        <v>15</v>
      </c>
      <c r="O27" s="7" t="s">
        <v>15</v>
      </c>
      <c r="P27" s="7" t="s">
        <v>16</v>
      </c>
      <c r="Q27" s="7" t="s">
        <v>16</v>
      </c>
      <c r="R27" s="7" t="s">
        <v>15</v>
      </c>
      <c r="S27" s="7" t="s">
        <v>16</v>
      </c>
      <c r="U27" s="7" t="s">
        <v>15</v>
      </c>
      <c r="V27" s="7" t="s">
        <v>15</v>
      </c>
      <c r="W27" s="7" t="s">
        <v>16</v>
      </c>
      <c r="X27" s="7" t="s">
        <v>15</v>
      </c>
      <c r="Y27" s="28">
        <f t="shared" si="2"/>
        <v>0.95</v>
      </c>
      <c r="Z27" s="7">
        <f>IF(ISBLANK(E27),"",IF(E27=Truth!B$25,1,0))
</f>
        <v>1</v>
      </c>
      <c r="AA27" s="7">
        <f>IF(ISBLANK(F27),"",IF(F27=Truth!C$25,1,0))
</f>
        <v>1</v>
      </c>
      <c r="AB27" s="7">
        <f>IF(ISBLANK(G27),"",IF(G27=Truth!D$25,1,0))
</f>
        <v>0</v>
      </c>
      <c r="AC27" s="7">
        <f>IF(ISBLANK(H27),"",IF(H27=Truth!E$25,1,0))
</f>
        <v>1</v>
      </c>
      <c r="AD27" s="7">
        <f>IF(ISBLANK(I27),"",IF(I27=Truth!F$25,1,0))
</f>
        <v>1</v>
      </c>
      <c r="AE27" s="7">
        <f>IF(ISBLANK(J27),"",IF(J27=Truth!G$25,1,0))
</f>
        <v>1</v>
      </c>
      <c r="AF27" s="7">
        <f>IF(ISBLANK(K27),"",IF(K27=Truth!H$25,1,0))
</f>
        <v>1</v>
      </c>
      <c r="AG27" s="7">
        <f>IF(ISBLANK(L27),"",IF(L27=Truth!I$25,1,0))
</f>
        <v>0</v>
      </c>
      <c r="AH27" s="7">
        <f>IF(ISBLANK(M27),"",IF(M27=Truth!J$25,1,0))
</f>
        <v>1</v>
      </c>
      <c r="AI27" s="7">
        <f>IF(ISBLANK(N27),"",IF(N27=Truth!K$25,1,0))
</f>
        <v>1</v>
      </c>
      <c r="AJ27" s="7">
        <f>IF(ISBLANK(O27),"",IF(O27=Truth!L$25,1,0))
</f>
        <v>0</v>
      </c>
      <c r="AK27" s="7">
        <f>IF(ISBLANK(P27),"",IF(P27=Truth!M$25,1,0))
</f>
        <v>0</v>
      </c>
      <c r="AL27" s="7">
        <f>IF(ISBLANK(Q27),"",IF(Q27=Truth!N$25,1,0))
</f>
        <v>1</v>
      </c>
      <c r="AM27" s="7">
        <f>IF(ISBLANK(R27),"",IF(R27=Truth!O$25,1,0))
</f>
        <v>1</v>
      </c>
      <c r="AN27" s="7">
        <f>IF(ISBLANK(S27),"",IF(S27=Truth!P$25,1,0))
</f>
        <v>1</v>
      </c>
      <c r="AO27" s="7" t="str">
        <f>IF(ISBLANK(T27),"",IF(T27=Truth!Q$25,1,0))
</f>
        <v/>
      </c>
      <c r="AP27" s="7">
        <f>IF(ISBLANK(U27),"",IF(U27=Truth!R$25,1,0))
</f>
        <v>0</v>
      </c>
      <c r="AQ27" s="7">
        <f>IF(ISBLANK(V27),"",IF(V27=Truth!S$25,1,0))
</f>
        <v>1</v>
      </c>
      <c r="AR27" s="7">
        <f>IF(ISBLANK(W27),"",IF(W27=Truth!T$25,1,0))
</f>
        <v>1</v>
      </c>
      <c r="AS27" s="7">
        <f>IF(ISBLANK(X27),"",IF(X27=Truth!U$25,1,0))
</f>
        <v>1</v>
      </c>
      <c r="AT27" s="7">
        <f t="shared" si="3"/>
        <v>0.7368421053</v>
      </c>
      <c r="AU27" s="7">
        <f t="array" ref="AU27">SUM(N(LEN(TRIM(Z27:AS27))&gt;0))</f>
        <v>19</v>
      </c>
      <c r="AV27" s="7">
        <f t="shared" si="4"/>
        <v>14</v>
      </c>
    </row>
    <row r="28">
      <c r="A28" s="8" t="s">
        <v>76</v>
      </c>
      <c r="B28" s="8" t="str">
        <f>IF(COUNTIF('Fieldwork W1'!$A$4:$A$22, A28) &gt; 0, "1", IF(COUNTIF('Fieldwork W1'!$A$28:$A$46, A28) &gt; 0, "2", ""))</f>
        <v>2</v>
      </c>
      <c r="C28" s="8" t="str">
        <f>IF(COUNTIF('Fieldwork W2'!$A$4:$A$22, A28) &gt; 0, "1", IF(COUNTIF('Fieldwork W2'!$A$28:$A$46, A28) &gt; 0, "2", ""))</f>
        <v>1</v>
      </c>
      <c r="D28" s="8" t="str">
        <f t="shared" si="1"/>
        <v>21</v>
      </c>
      <c r="E28" s="8" t="s">
        <v>15</v>
      </c>
      <c r="F28" s="8" t="s">
        <v>16</v>
      </c>
      <c r="G28" s="8" t="s">
        <v>15</v>
      </c>
      <c r="H28" s="8" t="s">
        <v>15</v>
      </c>
      <c r="I28" s="8" t="s">
        <v>16</v>
      </c>
      <c r="J28" s="8" t="s">
        <v>15</v>
      </c>
      <c r="K28" s="8" t="s">
        <v>16</v>
      </c>
      <c r="L28" s="8" t="s">
        <v>16</v>
      </c>
      <c r="M28" s="8" t="s">
        <v>15</v>
      </c>
      <c r="N28" s="8" t="s">
        <v>15</v>
      </c>
      <c r="O28" s="7" t="s">
        <v>15</v>
      </c>
      <c r="P28" s="7" t="s">
        <v>16</v>
      </c>
      <c r="Q28" s="7" t="s">
        <v>15</v>
      </c>
      <c r="R28" s="7" t="s">
        <v>15</v>
      </c>
      <c r="S28" s="7" t="s">
        <v>15</v>
      </c>
      <c r="T28" s="7" t="s">
        <v>16</v>
      </c>
      <c r="U28" s="7" t="s">
        <v>16</v>
      </c>
      <c r="V28" s="7" t="s">
        <v>15</v>
      </c>
      <c r="W28" s="7" t="s">
        <v>15</v>
      </c>
      <c r="X28" s="7" t="s">
        <v>15</v>
      </c>
      <c r="Y28" s="28">
        <f t="shared" si="2"/>
        <v>1</v>
      </c>
      <c r="Z28" s="7">
        <f>IF(ISBLANK(E28),"",IF(E28=Truth!B$24,1,0))
</f>
        <v>1</v>
      </c>
      <c r="AA28" s="7">
        <f>IF(ISBLANK(F28),"",IF(F28=Truth!C$24,1,0))
</f>
        <v>1</v>
      </c>
      <c r="AB28" s="7">
        <f>IF(ISBLANK(G28),"",IF(G28=Truth!D$24,1,0))
</f>
        <v>0</v>
      </c>
      <c r="AC28" s="7">
        <f>IF(ISBLANK(H28),"",IF(H28=Truth!E$24,1,0))
</f>
        <v>0</v>
      </c>
      <c r="AD28" s="7">
        <f>IF(ISBLANK(I28),"",IF(I28=Truth!F$24,1,0))
</f>
        <v>0</v>
      </c>
      <c r="AE28" s="7">
        <f>IF(ISBLANK(J28),"",IF(J28=Truth!G$24,1,0))
</f>
        <v>1</v>
      </c>
      <c r="AF28" s="7">
        <f>IF(ISBLANK(K28),"",IF(K28=Truth!H$24,1,0))
</f>
        <v>1</v>
      </c>
      <c r="AG28" s="7">
        <f>IF(ISBLANK(L28),"",IF(L28=Truth!I$24,1,0))
</f>
        <v>1</v>
      </c>
      <c r="AH28" s="7">
        <f>IF(ISBLANK(M28),"",IF(M28=Truth!J$24,1,0))
</f>
        <v>1</v>
      </c>
      <c r="AI28" s="7">
        <f>IF(ISBLANK(N28),"",IF(N28=Truth!K$24,1,0))
</f>
        <v>1</v>
      </c>
      <c r="AJ28" s="7">
        <f>IF(ISBLANK(O28),"",IF(O28=Truth!L$24,1,0))
</f>
        <v>1</v>
      </c>
      <c r="AK28" s="7">
        <f>IF(ISBLANK(P28),"",IF(P28=Truth!M$24,1,0))
</f>
        <v>1</v>
      </c>
      <c r="AL28" s="7">
        <f>IF(ISBLANK(Q28),"",IF(Q28=Truth!N$24,1,0))
</f>
        <v>1</v>
      </c>
      <c r="AM28" s="7">
        <f>IF(ISBLANK(R28),"",IF(R28=Truth!O$24,1,0))
</f>
        <v>0</v>
      </c>
      <c r="AN28" s="7">
        <f>IF(ISBLANK(S28),"",IF(S28=Truth!P$24,1,0))
</f>
        <v>1</v>
      </c>
      <c r="AO28" s="7">
        <f>IF(ISBLANK(T28),"",IF(T28=Truth!Q$24,1,0))
</f>
        <v>1</v>
      </c>
      <c r="AP28" s="7">
        <f>IF(ISBLANK(U28),"",IF(U28=Truth!R$24,1,0))
</f>
        <v>1</v>
      </c>
      <c r="AQ28" s="7">
        <f>IF(ISBLANK(V28),"",IF(V28=Truth!S$24,1,0))
</f>
        <v>1</v>
      </c>
      <c r="AR28" s="7">
        <f>IF(ISBLANK(W28),"",IF(W28=Truth!T$24,1,0))
</f>
        <v>0</v>
      </c>
      <c r="AS28" s="7">
        <f>IF(ISBLANK(X28),"",IF(X28=Truth!U$24,1,0))
</f>
        <v>1</v>
      </c>
      <c r="AT28" s="7">
        <f t="shared" si="3"/>
        <v>0.75</v>
      </c>
      <c r="AU28" s="7">
        <f t="array" ref="AU28">SUM(N(LEN(TRIM(Z28:AS28))&gt;0))</f>
        <v>20</v>
      </c>
      <c r="AV28" s="7">
        <f t="shared" si="4"/>
        <v>15</v>
      </c>
    </row>
    <row r="29">
      <c r="A29" s="8" t="s">
        <v>95</v>
      </c>
      <c r="B29" s="8" t="str">
        <f>IF(COUNTIF('Fieldwork W1'!$A$4:$A$22, A29) &gt; 0, "1", IF(COUNTIF('Fieldwork W1'!$A$28:$A$46, A29) &gt; 0, "2", ""))</f>
        <v>2</v>
      </c>
      <c r="C29" s="8" t="str">
        <f>IF(COUNTIF('Fieldwork W2'!$A$4:$A$22, A29) &gt; 0, "1", IF(COUNTIF('Fieldwork W2'!$A$28:$A$46, A29) &gt; 0, "2", ""))</f>
        <v>1</v>
      </c>
      <c r="D29" s="8" t="str">
        <f t="shared" si="1"/>
        <v>21</v>
      </c>
      <c r="E29" s="8" t="s">
        <v>15</v>
      </c>
      <c r="F29" s="8" t="s">
        <v>16</v>
      </c>
      <c r="G29" s="8" t="s">
        <v>16</v>
      </c>
      <c r="H29" s="8" t="s">
        <v>15</v>
      </c>
      <c r="I29" s="8" t="s">
        <v>16</v>
      </c>
      <c r="J29" s="8" t="s">
        <v>16</v>
      </c>
      <c r="K29" s="8" t="s">
        <v>16</v>
      </c>
      <c r="L29" s="8" t="s">
        <v>16</v>
      </c>
      <c r="M29" s="8" t="s">
        <v>15</v>
      </c>
      <c r="N29" s="8" t="s">
        <v>15</v>
      </c>
      <c r="O29" s="7" t="s">
        <v>16</v>
      </c>
      <c r="P29" s="7" t="s">
        <v>16</v>
      </c>
      <c r="Q29" s="7" t="s">
        <v>15</v>
      </c>
      <c r="R29" s="7" t="s">
        <v>16</v>
      </c>
      <c r="S29" s="7" t="s">
        <v>15</v>
      </c>
      <c r="T29" s="7" t="s">
        <v>16</v>
      </c>
      <c r="U29" s="7" t="s">
        <v>16</v>
      </c>
      <c r="V29" s="7" t="s">
        <v>15</v>
      </c>
      <c r="W29" s="7" t="s">
        <v>15</v>
      </c>
      <c r="X29" s="7" t="s">
        <v>15</v>
      </c>
      <c r="Y29" s="28">
        <f t="shared" si="2"/>
        <v>1</v>
      </c>
      <c r="Z29" s="7">
        <f>IF(ISBLANK(E29),"",IF(E29=Truth!B$24,1,0))
</f>
        <v>1</v>
      </c>
      <c r="AA29" s="7">
        <f>IF(ISBLANK(F29),"",IF(F29=Truth!C$24,1,0))
</f>
        <v>1</v>
      </c>
      <c r="AB29" s="7">
        <f>IF(ISBLANK(G29),"",IF(G29=Truth!D$24,1,0))
</f>
        <v>1</v>
      </c>
      <c r="AC29" s="7">
        <f>IF(ISBLANK(H29),"",IF(H29=Truth!E$24,1,0))
</f>
        <v>0</v>
      </c>
      <c r="AD29" s="7">
        <f>IF(ISBLANK(I29),"",IF(I29=Truth!F$24,1,0))
</f>
        <v>0</v>
      </c>
      <c r="AE29" s="7">
        <f>IF(ISBLANK(J29),"",IF(J29=Truth!G$24,1,0))
</f>
        <v>0</v>
      </c>
      <c r="AF29" s="7">
        <f>IF(ISBLANK(K29),"",IF(K29=Truth!H$24,1,0))
</f>
        <v>1</v>
      </c>
      <c r="AG29" s="7">
        <f>IF(ISBLANK(L29),"",IF(L29=Truth!I$24,1,0))
</f>
        <v>1</v>
      </c>
      <c r="AH29" s="7">
        <f>IF(ISBLANK(M29),"",IF(M29=Truth!J$24,1,0))
</f>
        <v>1</v>
      </c>
      <c r="AI29" s="7">
        <f>IF(ISBLANK(N29),"",IF(N29=Truth!K$24,1,0))
</f>
        <v>1</v>
      </c>
      <c r="AJ29" s="7">
        <f>IF(ISBLANK(O29),"",IF(O29=Truth!L$24,1,0))
</f>
        <v>0</v>
      </c>
      <c r="AK29" s="7">
        <f>IF(ISBLANK(P29),"",IF(P29=Truth!M$24,1,0))
</f>
        <v>1</v>
      </c>
      <c r="AL29" s="7">
        <f>IF(ISBLANK(Q29),"",IF(Q29=Truth!N$24,1,0))
</f>
        <v>1</v>
      </c>
      <c r="AM29" s="7">
        <f>IF(ISBLANK(R29),"",IF(R29=Truth!O$24,1,0))
</f>
        <v>1</v>
      </c>
      <c r="AN29" s="7">
        <f>IF(ISBLANK(S29),"",IF(S29=Truth!P$24,1,0))
</f>
        <v>1</v>
      </c>
      <c r="AO29" s="7">
        <f>IF(ISBLANK(T29),"",IF(T29=Truth!Q$24,1,0))
</f>
        <v>1</v>
      </c>
      <c r="AP29" s="7">
        <f>IF(ISBLANK(U29),"",IF(U29=Truth!R$24,1,0))
</f>
        <v>1</v>
      </c>
      <c r="AQ29" s="7">
        <f>IF(ISBLANK(V29),"",IF(V29=Truth!S$24,1,0))
</f>
        <v>1</v>
      </c>
      <c r="AR29" s="7">
        <f>IF(ISBLANK(W29),"",IF(W29=Truth!T$24,1,0))
</f>
        <v>0</v>
      </c>
      <c r="AS29" s="7">
        <f>IF(ISBLANK(X29),"",IF(X29=Truth!U$24,1,0))
</f>
        <v>1</v>
      </c>
      <c r="AT29" s="7">
        <f t="shared" si="3"/>
        <v>0.75</v>
      </c>
      <c r="AU29" s="7">
        <f t="array" ref="AU29">SUM(N(LEN(TRIM(Z29:AS29))&gt;0))</f>
        <v>20</v>
      </c>
      <c r="AV29" s="7">
        <f t="shared" si="4"/>
        <v>15</v>
      </c>
    </row>
    <row r="30">
      <c r="A30" s="8" t="s">
        <v>39</v>
      </c>
      <c r="B30" s="8" t="str">
        <f>IF(COUNTIF('Fieldwork W1'!$A$4:$A$22, A30) &gt; 0, "1", IF(COUNTIF('Fieldwork W1'!$A$28:$A$46, A30) &gt; 0, "2", ""))</f>
        <v>1</v>
      </c>
      <c r="C30" s="8" t="str">
        <f>IF(COUNTIF('Fieldwork W2'!$A$4:$A$22, A30) &gt; 0, "1", IF(COUNTIF('Fieldwork W2'!$A$28:$A$46, A30) &gt; 0, "2", ""))</f>
        <v>2</v>
      </c>
      <c r="D30" s="8" t="str">
        <f t="shared" si="1"/>
        <v>12</v>
      </c>
      <c r="L30" s="8" t="s">
        <v>15</v>
      </c>
      <c r="M30" s="8" t="s">
        <v>15</v>
      </c>
      <c r="N30" s="8" t="s">
        <v>16</v>
      </c>
      <c r="O30" s="7" t="s">
        <v>15</v>
      </c>
      <c r="P30" s="7" t="s">
        <v>16</v>
      </c>
      <c r="Q30" s="7" t="s">
        <v>16</v>
      </c>
      <c r="R30" s="7" t="s">
        <v>15</v>
      </c>
      <c r="S30" s="7" t="s">
        <v>15</v>
      </c>
      <c r="T30" s="7" t="s">
        <v>16</v>
      </c>
      <c r="U30" s="7" t="s">
        <v>16</v>
      </c>
      <c r="V30" s="7" t="s">
        <v>15</v>
      </c>
      <c r="W30" s="7" t="s">
        <v>15</v>
      </c>
      <c r="X30" s="7" t="s">
        <v>16</v>
      </c>
      <c r="Y30" s="28">
        <f t="shared" si="2"/>
        <v>0.65</v>
      </c>
      <c r="Z30" s="7" t="str">
        <f>IF(ISBLANK(E30),"",IF(E30=Truth!B$24,1,0))
</f>
        <v/>
      </c>
      <c r="AA30" s="7" t="str">
        <f>IF(ISBLANK(F30),"",IF(F30=Truth!C$24,1,0))
</f>
        <v/>
      </c>
      <c r="AB30" s="7" t="str">
        <f>IF(ISBLANK(G30),"",IF(G30=Truth!D$24,1,0))
</f>
        <v/>
      </c>
      <c r="AC30" s="7" t="str">
        <f>IF(ISBLANK(H30),"",IF(H30=Truth!E$24,1,0))
</f>
        <v/>
      </c>
      <c r="AD30" s="7" t="str">
        <f>IF(ISBLANK(I30),"",IF(I30=Truth!F$24,1,0))
</f>
        <v/>
      </c>
      <c r="AE30" s="7" t="str">
        <f>IF(ISBLANK(J30),"",IF(J30=Truth!G$24,1,0))
</f>
        <v/>
      </c>
      <c r="AF30" s="7" t="str">
        <f>IF(ISBLANK(K30),"",IF(K30=Truth!H$24,1,0))
</f>
        <v/>
      </c>
      <c r="AG30" s="7">
        <f>IF(ISBLANK(L30),"",IF(L30=Truth!I$24,1,0))
</f>
        <v>0</v>
      </c>
      <c r="AH30" s="7">
        <f>IF(ISBLANK(M30),"",IF(M30=Truth!J$24,1,0))
</f>
        <v>1</v>
      </c>
      <c r="AI30" s="7">
        <f>IF(ISBLANK(N30),"",IF(N30=Truth!K$24,1,0))
</f>
        <v>0</v>
      </c>
      <c r="AJ30" s="7">
        <f>IF(ISBLANK(O30),"",IF(O30=Truth!L$24,1,0))
</f>
        <v>1</v>
      </c>
      <c r="AK30" s="7">
        <f>IF(ISBLANK(P30),"",IF(P30=Truth!M$24,1,0))
</f>
        <v>1</v>
      </c>
      <c r="AL30" s="7">
        <f>IF(ISBLANK(Q30),"",IF(Q30=Truth!N$24,1,0))
</f>
        <v>0</v>
      </c>
      <c r="AM30" s="7">
        <f>IF(ISBLANK(R30),"",IF(R30=Truth!O$24,1,0))
</f>
        <v>0</v>
      </c>
      <c r="AN30" s="7">
        <f>IF(ISBLANK(S30),"",IF(S30=Truth!P$24,1,0))
</f>
        <v>1</v>
      </c>
      <c r="AO30" s="7">
        <f>IF(ISBLANK(T30),"",IF(T30=Truth!Q$24,1,0))
</f>
        <v>1</v>
      </c>
      <c r="AP30" s="7">
        <f>IF(ISBLANK(U30),"",IF(U30=Truth!R$24,1,0))
</f>
        <v>1</v>
      </c>
      <c r="AQ30" s="7">
        <f>IF(ISBLANK(V30),"",IF(V30=Truth!S$24,1,0))
</f>
        <v>1</v>
      </c>
      <c r="AR30" s="7">
        <f>IF(ISBLANK(W30),"",IF(W30=Truth!T$24,1,0))
</f>
        <v>0</v>
      </c>
      <c r="AS30" s="7">
        <f>IF(ISBLANK(X30),"",IF(X30=Truth!U$24,1,0))
</f>
        <v>0</v>
      </c>
      <c r="AT30" s="7">
        <f t="shared" si="3"/>
        <v>0.5384615385</v>
      </c>
      <c r="AU30" s="7">
        <f t="array" ref="AU30">SUM(N(LEN(TRIM(Z30:AS30))&gt;0))</f>
        <v>13</v>
      </c>
      <c r="AV30" s="7">
        <f t="shared" si="4"/>
        <v>7</v>
      </c>
    </row>
    <row r="31">
      <c r="A31" s="8" t="s">
        <v>107</v>
      </c>
      <c r="B31" s="8" t="str">
        <f>IF(COUNTIF('Fieldwork W1'!$A$4:$A$22, A31) &gt; 0, "1", IF(COUNTIF('Fieldwork W1'!$A$28:$A$46, A31) &gt; 0, "2", ""))</f>
        <v>2</v>
      </c>
      <c r="C31" s="8" t="str">
        <f>IF(COUNTIF('Fieldwork W2'!$A$4:$A$22, A31) &gt; 0, "1", IF(COUNTIF('Fieldwork W2'!$A$28:$A$46, A31) &gt; 0, "2", ""))</f>
        <v>1</v>
      </c>
      <c r="D31" s="8" t="str">
        <f t="shared" si="1"/>
        <v>21</v>
      </c>
      <c r="E31" s="8" t="s">
        <v>15</v>
      </c>
      <c r="F31" s="8" t="s">
        <v>16</v>
      </c>
      <c r="H31" s="8" t="s">
        <v>16</v>
      </c>
      <c r="I31" s="8" t="s">
        <v>15</v>
      </c>
      <c r="J31" s="8" t="s">
        <v>15</v>
      </c>
      <c r="K31" s="8" t="s">
        <v>15</v>
      </c>
      <c r="L31" s="8" t="s">
        <v>16</v>
      </c>
      <c r="M31" s="8" t="s">
        <v>16</v>
      </c>
      <c r="N31" s="8" t="s">
        <v>16</v>
      </c>
      <c r="O31" s="7" t="s">
        <v>15</v>
      </c>
      <c r="P31" s="7" t="s">
        <v>16</v>
      </c>
      <c r="Q31" s="7" t="s">
        <v>16</v>
      </c>
      <c r="R31" s="7" t="s">
        <v>15</v>
      </c>
      <c r="S31" s="7" t="s">
        <v>16</v>
      </c>
      <c r="T31" s="7" t="s">
        <v>16</v>
      </c>
      <c r="U31" s="7" t="s">
        <v>16</v>
      </c>
      <c r="V31" s="7" t="s">
        <v>15</v>
      </c>
      <c r="W31" s="7" t="s">
        <v>16</v>
      </c>
      <c r="Y31" s="28">
        <f t="shared" si="2"/>
        <v>0.9</v>
      </c>
      <c r="Z31" s="7">
        <f>IF(ISBLANK(E31),"",IF(E31=Truth!B$23,1,0))
</f>
        <v>1</v>
      </c>
      <c r="AA31" s="7">
        <f>IF(ISBLANK(F31),"",IF(F31=Truth!C$23,1,0))
</f>
        <v>1</v>
      </c>
      <c r="AB31" s="7" t="str">
        <f>IF(ISBLANK(G31),"",IF(G31=Truth!D$23,1,0))
</f>
        <v/>
      </c>
      <c r="AC31" s="7">
        <f>IF(ISBLANK(H31),"",IF(H31=Truth!E$23,1,0))
</f>
        <v>1</v>
      </c>
      <c r="AD31" s="7">
        <f>IF(ISBLANK(I31),"",IF(I31=Truth!F$23,1,0))
</f>
        <v>1</v>
      </c>
      <c r="AE31" s="7">
        <f>IF(ISBLANK(J31),"",IF(J31=Truth!G$23,1,0))
</f>
        <v>1</v>
      </c>
      <c r="AF31" s="7">
        <f>IF(ISBLANK(K31),"",IF(K31=Truth!H$23,1,0))
</f>
        <v>1</v>
      </c>
      <c r="AG31" s="7">
        <f>IF(ISBLANK(L31),"",IF(L31=Truth!I$23,1,0))
</f>
        <v>1</v>
      </c>
      <c r="AH31" s="7">
        <f>IF(ISBLANK(M31),"",IF(M31=Truth!J$23,1,0))
</f>
        <v>0</v>
      </c>
      <c r="AI31" s="7">
        <f>IF(ISBLANK(N31),"",IF(N31=Truth!K$23,1,0))
</f>
        <v>1</v>
      </c>
      <c r="AJ31" s="7">
        <f>IF(ISBLANK(O31),"",IF(O31=Truth!L$23,1,0))
</f>
        <v>0</v>
      </c>
      <c r="AK31" s="7">
        <f>IF(ISBLANK(P31),"",IF(P31=Truth!M$23,1,0))
</f>
        <v>0</v>
      </c>
      <c r="AL31" s="7">
        <f>IF(ISBLANK(Q31),"",IF(Q31=Truth!N$23,1,0))
</f>
        <v>1</v>
      </c>
      <c r="AM31" s="7">
        <f>IF(ISBLANK(R31),"",IF(R31=Truth!O$23,1,0))
</f>
        <v>1</v>
      </c>
      <c r="AN31" s="7">
        <f>IF(ISBLANK(S31),"",IF(S31=Truth!P$23,1,0))
</f>
        <v>1</v>
      </c>
      <c r="AO31" s="7">
        <f>IF(ISBLANK(T31),"",IF(T31=Truth!Q$23,1,0))
</f>
        <v>0</v>
      </c>
      <c r="AP31" s="7">
        <f>IF(ISBLANK(U31),"",IF(U31=Truth!R$23,1,0))
</f>
        <v>1</v>
      </c>
      <c r="AQ31" s="7">
        <f>IF(ISBLANK(V31),"",IF(V31=Truth!S$23,1,0))
</f>
        <v>1</v>
      </c>
      <c r="AR31" s="7">
        <f>IF(ISBLANK(W31),"",IF(W31=Truth!T$23,1,0))
</f>
        <v>1</v>
      </c>
      <c r="AS31" s="7" t="str">
        <f>IF(ISBLANK(X31),"",IF(X31=Truth!U$23,1,0))
</f>
        <v/>
      </c>
      <c r="AT31" s="7">
        <f t="shared" si="3"/>
        <v>0.7777777778</v>
      </c>
      <c r="AU31" s="7">
        <f t="array" ref="AU31">SUM(N(LEN(TRIM(Z31:AS31))&gt;0))</f>
        <v>18</v>
      </c>
      <c r="AV31" s="7">
        <f t="shared" si="4"/>
        <v>14</v>
      </c>
    </row>
    <row r="32">
      <c r="A32" s="8" t="s">
        <v>26</v>
      </c>
      <c r="B32" s="8" t="str">
        <f>IF(COUNTIF('Fieldwork W1'!$A$4:$A$22, A32) &gt; 0, "1", IF(COUNTIF('Fieldwork W1'!$A$28:$A$46, A32) &gt; 0, "2", ""))</f>
        <v>2</v>
      </c>
      <c r="C32" s="8" t="str">
        <f>IF(COUNTIF('Fieldwork W2'!$A$4:$A$22, A32) &gt; 0, "1", IF(COUNTIF('Fieldwork W2'!$A$28:$A$46, A32) &gt; 0, "2", ""))</f>
        <v>1</v>
      </c>
      <c r="D32" s="8" t="str">
        <f t="shared" si="1"/>
        <v>21</v>
      </c>
      <c r="E32" s="8" t="s">
        <v>15</v>
      </c>
      <c r="F32" s="8" t="s">
        <v>16</v>
      </c>
      <c r="G32" s="8" t="s">
        <v>16</v>
      </c>
      <c r="H32" s="8" t="s">
        <v>16</v>
      </c>
      <c r="I32" s="8" t="s">
        <v>15</v>
      </c>
      <c r="J32" s="8" t="s">
        <v>15</v>
      </c>
      <c r="K32" s="8" t="s">
        <v>16</v>
      </c>
      <c r="L32" s="8" t="s">
        <v>15</v>
      </c>
      <c r="M32" s="8" t="s">
        <v>15</v>
      </c>
      <c r="N32" s="8" t="s">
        <v>15</v>
      </c>
      <c r="O32" s="7" t="s">
        <v>15</v>
      </c>
      <c r="P32" s="7" t="s">
        <v>15</v>
      </c>
      <c r="Q32" s="7" t="s">
        <v>15</v>
      </c>
      <c r="R32" s="7" t="s">
        <v>16</v>
      </c>
      <c r="S32" s="7" t="s">
        <v>15</v>
      </c>
      <c r="T32" s="7" t="s">
        <v>15</v>
      </c>
      <c r="U32" s="7" t="s">
        <v>16</v>
      </c>
      <c r="V32" s="7" t="s">
        <v>15</v>
      </c>
      <c r="W32" s="7" t="s">
        <v>15</v>
      </c>
      <c r="Y32" s="28">
        <f t="shared" si="2"/>
        <v>0.95</v>
      </c>
      <c r="Z32" s="7">
        <f>IF(ISBLANK(E32),"",IF(E32=Truth!B$24,1,0))
</f>
        <v>1</v>
      </c>
      <c r="AA32" s="7">
        <f>IF(ISBLANK(F32),"",IF(F32=Truth!C$24,1,0))
</f>
        <v>1</v>
      </c>
      <c r="AB32" s="7">
        <f>IF(ISBLANK(G32),"",IF(G32=Truth!D$24,1,0))
</f>
        <v>1</v>
      </c>
      <c r="AC32" s="7">
        <f>IF(ISBLANK(H32),"",IF(H32=Truth!E$24,1,0))
</f>
        <v>1</v>
      </c>
      <c r="AD32" s="7">
        <f>IF(ISBLANK(I32),"",IF(I32=Truth!F$24,1,0))
</f>
        <v>1</v>
      </c>
      <c r="AE32" s="7">
        <f>IF(ISBLANK(J32),"",IF(J32=Truth!G$24,1,0))
</f>
        <v>1</v>
      </c>
      <c r="AF32" s="7">
        <f>IF(ISBLANK(K32),"",IF(K32=Truth!H$24,1,0))
</f>
        <v>1</v>
      </c>
      <c r="AG32" s="7">
        <f>IF(ISBLANK(L32),"",IF(L32=Truth!I$24,1,0))
</f>
        <v>0</v>
      </c>
      <c r="AH32" s="7">
        <f>IF(ISBLANK(M32),"",IF(M32=Truth!J$24,1,0))
</f>
        <v>1</v>
      </c>
      <c r="AI32" s="7">
        <f>IF(ISBLANK(N32),"",IF(N32=Truth!K$24,1,0))
</f>
        <v>1</v>
      </c>
      <c r="AJ32" s="7">
        <f>IF(ISBLANK(O32),"",IF(O32=Truth!L$24,1,0))
</f>
        <v>1</v>
      </c>
      <c r="AK32" s="7">
        <f>IF(ISBLANK(P32),"",IF(P32=Truth!M$24,1,0))
</f>
        <v>0</v>
      </c>
      <c r="AL32" s="7">
        <f>IF(ISBLANK(Q32),"",IF(Q32=Truth!N$24,1,0))
</f>
        <v>1</v>
      </c>
      <c r="AM32" s="7">
        <f>IF(ISBLANK(R32),"",IF(R32=Truth!O$24,1,0))
</f>
        <v>1</v>
      </c>
      <c r="AN32" s="7">
        <f>IF(ISBLANK(S32),"",IF(S32=Truth!P$24,1,0))
</f>
        <v>1</v>
      </c>
      <c r="AO32" s="7">
        <f>IF(ISBLANK(T32),"",IF(T32=Truth!Q$24,1,0))
</f>
        <v>0</v>
      </c>
      <c r="AP32" s="7">
        <f>IF(ISBLANK(U32),"",IF(U32=Truth!R$24,1,0))
</f>
        <v>1</v>
      </c>
      <c r="AQ32" s="7">
        <f>IF(ISBLANK(V32),"",IF(V32=Truth!S$24,1,0))
</f>
        <v>1</v>
      </c>
      <c r="AR32" s="7">
        <f>IF(ISBLANK(W32),"",IF(W32=Truth!T$24,1,0))
</f>
        <v>0</v>
      </c>
      <c r="AS32" s="7" t="str">
        <f>IF(ISBLANK(X32),"",IF(X32=Truth!U$24,1,0))
</f>
        <v/>
      </c>
      <c r="AT32" s="7">
        <f t="shared" si="3"/>
        <v>0.7894736842</v>
      </c>
      <c r="AU32" s="7">
        <f t="array" ref="AU32">SUM(N(LEN(TRIM(Z32:AS32))&gt;0))</f>
        <v>19</v>
      </c>
      <c r="AV32" s="7">
        <f t="shared" si="4"/>
        <v>15</v>
      </c>
    </row>
    <row r="33">
      <c r="A33" s="8" t="s">
        <v>103</v>
      </c>
      <c r="B33" s="8" t="str">
        <f>IF(COUNTIF('Fieldwork W1'!$A$4:$A$22, A33) &gt; 0, "1", IF(COUNTIF('Fieldwork W1'!$A$28:$A$46, A33) &gt; 0, "2", ""))</f>
        <v>1</v>
      </c>
      <c r="C33" s="8" t="str">
        <f>IF(COUNTIF('Fieldwork W2'!$A$4:$A$22, A33) &gt; 0, "1", IF(COUNTIF('Fieldwork W2'!$A$28:$A$46, A33) &gt; 0, "2", ""))</f>
        <v>2</v>
      </c>
      <c r="D33" s="8" t="str">
        <f t="shared" si="1"/>
        <v>12</v>
      </c>
      <c r="E33" s="8" t="s">
        <v>15</v>
      </c>
      <c r="F33" s="8" t="s">
        <v>16</v>
      </c>
      <c r="G33" s="8" t="s">
        <v>16</v>
      </c>
      <c r="H33" s="8" t="s">
        <v>15</v>
      </c>
      <c r="I33" s="8" t="s">
        <v>16</v>
      </c>
      <c r="J33" s="8" t="s">
        <v>15</v>
      </c>
      <c r="K33" s="8" t="s">
        <v>16</v>
      </c>
      <c r="L33" s="8" t="s">
        <v>15</v>
      </c>
      <c r="M33" s="8" t="s">
        <v>16</v>
      </c>
      <c r="N33" s="8" t="s">
        <v>15</v>
      </c>
      <c r="O33" s="7" t="s">
        <v>15</v>
      </c>
      <c r="P33" s="7" t="s">
        <v>16</v>
      </c>
      <c r="Q33" s="7" t="s">
        <v>15</v>
      </c>
      <c r="S33" s="7" t="s">
        <v>15</v>
      </c>
      <c r="T33" s="7" t="s">
        <v>16</v>
      </c>
      <c r="U33" s="7" t="s">
        <v>16</v>
      </c>
      <c r="V33" s="7" t="s">
        <v>15</v>
      </c>
      <c r="W33" s="7" t="s">
        <v>16</v>
      </c>
      <c r="X33" s="7" t="s">
        <v>15</v>
      </c>
      <c r="Y33" s="28">
        <f t="shared" si="2"/>
        <v>0.95</v>
      </c>
      <c r="Z33" s="7">
        <f>IF(ISBLANK(E33),"",IF(E33=Truth!B$24,1,0))
</f>
        <v>1</v>
      </c>
      <c r="AA33" s="7">
        <f>IF(ISBLANK(F33),"",IF(F33=Truth!C$24,1,0))
</f>
        <v>1</v>
      </c>
      <c r="AB33" s="7">
        <f>IF(ISBLANK(G33),"",IF(G33=Truth!D$24,1,0))
</f>
        <v>1</v>
      </c>
      <c r="AC33" s="7">
        <f>IF(ISBLANK(H33),"",IF(H33=Truth!E$24,1,0))
</f>
        <v>0</v>
      </c>
      <c r="AD33" s="7">
        <f>IF(ISBLANK(I33),"",IF(I33=Truth!F$24,1,0))
</f>
        <v>0</v>
      </c>
      <c r="AE33" s="7">
        <f>IF(ISBLANK(J33),"",IF(J33=Truth!G$24,1,0))
</f>
        <v>1</v>
      </c>
      <c r="AF33" s="7">
        <f>IF(ISBLANK(K33),"",IF(K33=Truth!H$24,1,0))
</f>
        <v>1</v>
      </c>
      <c r="AG33" s="7">
        <f>IF(ISBLANK(L33),"",IF(L33=Truth!I$24,1,0))
</f>
        <v>0</v>
      </c>
      <c r="AH33" s="7">
        <f>IF(ISBLANK(M33),"",IF(M33=Truth!J$24,1,0))
</f>
        <v>0</v>
      </c>
      <c r="AI33" s="7">
        <f>IF(ISBLANK(N33),"",IF(N33=Truth!K$24,1,0))
</f>
        <v>1</v>
      </c>
      <c r="AJ33" s="7">
        <f>IF(ISBLANK(O33),"",IF(O33=Truth!L$24,1,0))
</f>
        <v>1</v>
      </c>
      <c r="AK33" s="7">
        <f>IF(ISBLANK(P33),"",IF(P33=Truth!M$24,1,0))
</f>
        <v>1</v>
      </c>
      <c r="AL33" s="7">
        <f>IF(ISBLANK(Q33),"",IF(Q33=Truth!N$24,1,0))
</f>
        <v>1</v>
      </c>
      <c r="AM33" s="7" t="str">
        <f>IF(ISBLANK(R33),"",IF(R33=Truth!O$24,1,0))
</f>
        <v/>
      </c>
      <c r="AN33" s="7">
        <f>IF(ISBLANK(S33),"",IF(S33=Truth!P$24,1,0))
</f>
        <v>1</v>
      </c>
      <c r="AO33" s="7">
        <f>IF(ISBLANK(T33),"",IF(T33=Truth!Q$24,1,0))
</f>
        <v>1</v>
      </c>
      <c r="AP33" s="7">
        <f>IF(ISBLANK(U33),"",IF(U33=Truth!R$24,1,0))
</f>
        <v>1</v>
      </c>
      <c r="AQ33" s="7">
        <f>IF(ISBLANK(V33),"",IF(V33=Truth!S$24,1,0))
</f>
        <v>1</v>
      </c>
      <c r="AR33" s="7">
        <f>IF(ISBLANK(W33),"",IF(W33=Truth!T$24,1,0))
</f>
        <v>1</v>
      </c>
      <c r="AS33" s="7">
        <f>IF(ISBLANK(X33),"",IF(X33=Truth!U$24,1,0))
</f>
        <v>1</v>
      </c>
      <c r="AT33" s="7">
        <f t="shared" si="3"/>
        <v>0.7894736842</v>
      </c>
      <c r="AU33" s="7">
        <f t="array" ref="AU33">SUM(N(LEN(TRIM(Z33:AS33))&gt;0))</f>
        <v>19</v>
      </c>
      <c r="AV33" s="7">
        <f t="shared" si="4"/>
        <v>15</v>
      </c>
    </row>
    <row r="34">
      <c r="A34" s="8" t="s">
        <v>104</v>
      </c>
      <c r="B34" s="8" t="str">
        <f>IF(COUNTIF('Fieldwork W1'!$A$4:$A$22, A34) &gt; 0, "1", IF(COUNTIF('Fieldwork W1'!$A$28:$A$46, A34) &gt; 0, "2", ""))</f>
        <v>2</v>
      </c>
      <c r="C34" s="8" t="str">
        <f>IF(COUNTIF('Fieldwork W2'!$A$4:$A$22, A34) &gt; 0, "1", IF(COUNTIF('Fieldwork W2'!$A$28:$A$46, A34) &gt; 0, "2", ""))</f>
        <v>1</v>
      </c>
      <c r="D34" s="8" t="str">
        <f t="shared" si="1"/>
        <v>21</v>
      </c>
      <c r="E34" s="8" t="s">
        <v>15</v>
      </c>
      <c r="F34" s="8" t="s">
        <v>16</v>
      </c>
      <c r="G34" s="8" t="s">
        <v>15</v>
      </c>
      <c r="H34" s="8" t="s">
        <v>16</v>
      </c>
      <c r="I34" s="8" t="s">
        <v>15</v>
      </c>
      <c r="J34" s="8" t="s">
        <v>15</v>
      </c>
      <c r="K34" s="8" t="s">
        <v>15</v>
      </c>
      <c r="L34" s="8" t="s">
        <v>16</v>
      </c>
      <c r="M34" s="8" t="s">
        <v>16</v>
      </c>
      <c r="N34" s="8" t="s">
        <v>16</v>
      </c>
      <c r="O34" s="7" t="s">
        <v>15</v>
      </c>
      <c r="P34" s="7" t="s">
        <v>16</v>
      </c>
      <c r="Q34" s="7" t="s">
        <v>16</v>
      </c>
      <c r="R34" s="7" t="s">
        <v>15</v>
      </c>
      <c r="T34" s="7" t="s">
        <v>15</v>
      </c>
      <c r="U34" s="7" t="s">
        <v>16</v>
      </c>
      <c r="V34" s="7" t="s">
        <v>15</v>
      </c>
      <c r="W34" s="7" t="s">
        <v>16</v>
      </c>
      <c r="X34" s="7" t="s">
        <v>15</v>
      </c>
      <c r="Y34" s="28">
        <f t="shared" si="2"/>
        <v>0.95</v>
      </c>
      <c r="Z34" s="7">
        <f>IF(ISBLANK(E34),"",IF(E34=Truth!B$23,1,0))
</f>
        <v>1</v>
      </c>
      <c r="AA34" s="7">
        <f>IF(ISBLANK(F34),"",IF(F34=Truth!C$23,1,0))
</f>
        <v>1</v>
      </c>
      <c r="AB34" s="7">
        <f>IF(ISBLANK(G34),"",IF(G34=Truth!D$23,1,0))
</f>
        <v>0</v>
      </c>
      <c r="AC34" s="7">
        <f>IF(ISBLANK(H34),"",IF(H34=Truth!E$23,1,0))
</f>
        <v>1</v>
      </c>
      <c r="AD34" s="7">
        <f>IF(ISBLANK(I34),"",IF(I34=Truth!F$23,1,0))
</f>
        <v>1</v>
      </c>
      <c r="AE34" s="7">
        <f>IF(ISBLANK(J34),"",IF(J34=Truth!G$23,1,0))
</f>
        <v>1</v>
      </c>
      <c r="AF34" s="7">
        <f>IF(ISBLANK(K34),"",IF(K34=Truth!H$23,1,0))
</f>
        <v>1</v>
      </c>
      <c r="AG34" s="7">
        <f>IF(ISBLANK(L34),"",IF(L34=Truth!I$23,1,0))
</f>
        <v>1</v>
      </c>
      <c r="AH34" s="7">
        <f>IF(ISBLANK(M34),"",IF(M34=Truth!J$23,1,0))
</f>
        <v>0</v>
      </c>
      <c r="AI34" s="7">
        <f>IF(ISBLANK(N34),"",IF(N34=Truth!K$23,1,0))
</f>
        <v>1</v>
      </c>
      <c r="AJ34" s="7">
        <f>IF(ISBLANK(O34),"",IF(O34=Truth!L$23,1,0))
</f>
        <v>0</v>
      </c>
      <c r="AK34" s="7">
        <f>IF(ISBLANK(P34),"",IF(P34=Truth!M$23,1,0))
</f>
        <v>0</v>
      </c>
      <c r="AL34" s="7">
        <f>IF(ISBLANK(Q34),"",IF(Q34=Truth!N$23,1,0))
</f>
        <v>1</v>
      </c>
      <c r="AM34" s="7">
        <f>IF(ISBLANK(R34),"",IF(R34=Truth!O$23,1,0))
</f>
        <v>1</v>
      </c>
      <c r="AN34" s="7" t="str">
        <f>IF(ISBLANK(S34),"",IF(S34=Truth!P$23,1,0))
</f>
        <v/>
      </c>
      <c r="AO34" s="7">
        <f>IF(ISBLANK(T34),"",IF(T34=Truth!Q$23,1,0))
</f>
        <v>1</v>
      </c>
      <c r="AP34" s="7">
        <f>IF(ISBLANK(U34),"",IF(U34=Truth!R$23,1,0))
</f>
        <v>1</v>
      </c>
      <c r="AQ34" s="7">
        <f>IF(ISBLANK(V34),"",IF(V34=Truth!S$23,1,0))
</f>
        <v>1</v>
      </c>
      <c r="AR34" s="7">
        <f>IF(ISBLANK(W34),"",IF(W34=Truth!T$23,1,0))
</f>
        <v>1</v>
      </c>
      <c r="AS34" s="7">
        <f>IF(ISBLANK(X34),"",IF(X34=Truth!U$23,1,0))
</f>
        <v>1</v>
      </c>
      <c r="AT34" s="7">
        <f t="shared" si="3"/>
        <v>0.7894736842</v>
      </c>
      <c r="AU34" s="7">
        <f t="array" ref="AU34">SUM(N(LEN(TRIM(Z34:AS34))&gt;0))</f>
        <v>19</v>
      </c>
      <c r="AV34" s="7">
        <f t="shared" si="4"/>
        <v>15</v>
      </c>
    </row>
    <row r="35">
      <c r="A35" s="8" t="s">
        <v>98</v>
      </c>
      <c r="B35" s="8" t="str">
        <f>IF(COUNTIF('Fieldwork W1'!$A$4:$A$22, A35) &gt; 0, "1", IF(COUNTIF('Fieldwork W1'!$A$28:$A$46, A35) &gt; 0, "2", ""))</f>
        <v>1</v>
      </c>
      <c r="C35" s="8" t="str">
        <f>IF(COUNTIF('Fieldwork W2'!$A$4:$A$22, A35) &gt; 0, "1", IF(COUNTIF('Fieldwork W2'!$A$28:$A$46, A35) &gt; 0, "2", ""))</f>
        <v>1</v>
      </c>
      <c r="D35" s="8" t="str">
        <f t="shared" si="1"/>
        <v>11</v>
      </c>
      <c r="E35" s="8" t="s">
        <v>15</v>
      </c>
      <c r="F35" s="8" t="s">
        <v>16</v>
      </c>
      <c r="G35" s="8" t="s">
        <v>16</v>
      </c>
      <c r="H35" s="8" t="s">
        <v>15</v>
      </c>
      <c r="I35" s="8" t="s">
        <v>15</v>
      </c>
      <c r="J35" s="8" t="s">
        <v>15</v>
      </c>
      <c r="K35" s="8" t="s">
        <v>16</v>
      </c>
      <c r="L35" s="8" t="s">
        <v>16</v>
      </c>
      <c r="M35" s="8" t="s">
        <v>15</v>
      </c>
      <c r="N35" s="8" t="s">
        <v>15</v>
      </c>
      <c r="O35" s="7" t="s">
        <v>15</v>
      </c>
      <c r="P35" s="7" t="s">
        <v>15</v>
      </c>
      <c r="Q35" s="7" t="s">
        <v>15</v>
      </c>
      <c r="R35" s="7" t="s">
        <v>16</v>
      </c>
      <c r="S35" s="7" t="s">
        <v>15</v>
      </c>
      <c r="T35" s="7" t="s">
        <v>16</v>
      </c>
      <c r="U35" s="7" t="s">
        <v>16</v>
      </c>
      <c r="V35" s="7" t="s">
        <v>15</v>
      </c>
      <c r="W35" s="7" t="s">
        <v>15</v>
      </c>
      <c r="X35" s="7" t="s">
        <v>16</v>
      </c>
      <c r="Y35" s="28">
        <f t="shared" si="2"/>
        <v>1</v>
      </c>
      <c r="Z35" s="7">
        <f>IF(ISBLANK(E35),"",IF(E35=Truth!B$24,1,0))
</f>
        <v>1</v>
      </c>
      <c r="AA35" s="7">
        <f>IF(ISBLANK(F35),"",IF(F35=Truth!C$24,1,0))
</f>
        <v>1</v>
      </c>
      <c r="AB35" s="7">
        <f>IF(ISBLANK(G35),"",IF(G35=Truth!D$24,1,0))
</f>
        <v>1</v>
      </c>
      <c r="AC35" s="7">
        <f>IF(ISBLANK(H35),"",IF(H35=Truth!E$24,1,0))
</f>
        <v>0</v>
      </c>
      <c r="AD35" s="7">
        <f>IF(ISBLANK(I35),"",IF(I35=Truth!F$24,1,0))
</f>
        <v>1</v>
      </c>
      <c r="AE35" s="7">
        <f>IF(ISBLANK(J35),"",IF(J35=Truth!G$24,1,0))
</f>
        <v>1</v>
      </c>
      <c r="AF35" s="7">
        <f>IF(ISBLANK(K35),"",IF(K35=Truth!H$24,1,0))
</f>
        <v>1</v>
      </c>
      <c r="AG35" s="7">
        <f>IF(ISBLANK(L35),"",IF(L35=Truth!I$24,1,0))
</f>
        <v>1</v>
      </c>
      <c r="AH35" s="7">
        <f>IF(ISBLANK(M35),"",IF(M35=Truth!J$24,1,0))
</f>
        <v>1</v>
      </c>
      <c r="AI35" s="7">
        <f>IF(ISBLANK(N35),"",IF(N35=Truth!K$24,1,0))
</f>
        <v>1</v>
      </c>
      <c r="AJ35" s="7">
        <f>IF(ISBLANK(O35),"",IF(O35=Truth!L$24,1,0))
</f>
        <v>1</v>
      </c>
      <c r="AK35" s="7">
        <f>IF(ISBLANK(P35),"",IF(P35=Truth!M$24,1,0))
</f>
        <v>0</v>
      </c>
      <c r="AL35" s="7">
        <f>IF(ISBLANK(Q35),"",IF(Q35=Truth!N$24,1,0))
</f>
        <v>1</v>
      </c>
      <c r="AM35" s="7">
        <f>IF(ISBLANK(R35),"",IF(R35=Truth!O$24,1,0))
</f>
        <v>1</v>
      </c>
      <c r="AN35" s="7">
        <f>IF(ISBLANK(S35),"",IF(S35=Truth!P$24,1,0))
</f>
        <v>1</v>
      </c>
      <c r="AO35" s="7">
        <f>IF(ISBLANK(T35),"",IF(T35=Truth!Q$24,1,0))
</f>
        <v>1</v>
      </c>
      <c r="AP35" s="7">
        <f>IF(ISBLANK(U35),"",IF(U35=Truth!R$24,1,0))
</f>
        <v>1</v>
      </c>
      <c r="AQ35" s="7">
        <f>IF(ISBLANK(V35),"",IF(V35=Truth!S$24,1,0))
</f>
        <v>1</v>
      </c>
      <c r="AR35" s="7">
        <f>IF(ISBLANK(W35),"",IF(W35=Truth!T$24,1,0))
</f>
        <v>0</v>
      </c>
      <c r="AS35" s="7">
        <f>IF(ISBLANK(X35),"",IF(X35=Truth!U$24,1,0))
</f>
        <v>0</v>
      </c>
      <c r="AT35" s="7">
        <f t="shared" si="3"/>
        <v>0.8</v>
      </c>
      <c r="AU35" s="7">
        <f t="array" ref="AU35">SUM(N(LEN(TRIM(Z35:AS35))&gt;0))</f>
        <v>20</v>
      </c>
      <c r="AV35" s="7">
        <f t="shared" si="4"/>
        <v>16</v>
      </c>
    </row>
    <row r="36">
      <c r="A36" s="8" t="s">
        <v>24</v>
      </c>
      <c r="B36" s="8" t="str">
        <f>IF(COUNTIF('Fieldwork W1'!$A$4:$A$22, A36) &gt; 0, "1", IF(COUNTIF('Fieldwork W1'!$A$28:$A$46, A36) &gt; 0, "2", ""))</f>
        <v>1</v>
      </c>
      <c r="C36" s="8" t="str">
        <f>IF(COUNTIF('Fieldwork W2'!$A$4:$A$22, A36) &gt; 0, "1", IF(COUNTIF('Fieldwork W2'!$A$28:$A$46, A36) &gt; 0, "2", ""))</f>
        <v>2</v>
      </c>
      <c r="D36" s="8" t="str">
        <f t="shared" si="1"/>
        <v>12</v>
      </c>
      <c r="E36" s="8" t="s">
        <v>16</v>
      </c>
      <c r="F36" s="8" t="s">
        <v>16</v>
      </c>
      <c r="G36" s="8" t="s">
        <v>15</v>
      </c>
      <c r="H36" s="8" t="s">
        <v>15</v>
      </c>
      <c r="I36" s="8" t="s">
        <v>15</v>
      </c>
      <c r="J36" s="8" t="s">
        <v>16</v>
      </c>
      <c r="K36" s="8" t="s">
        <v>15</v>
      </c>
      <c r="L36" s="8" t="s">
        <v>16</v>
      </c>
      <c r="M36" s="8" t="s">
        <v>15</v>
      </c>
      <c r="N36" s="8" t="s">
        <v>16</v>
      </c>
      <c r="O36" s="7" t="s">
        <v>15</v>
      </c>
      <c r="P36" s="7" t="s">
        <v>15</v>
      </c>
      <c r="Q36" s="7" t="s">
        <v>16</v>
      </c>
      <c r="R36" s="7" t="s">
        <v>15</v>
      </c>
      <c r="T36" s="7" t="s">
        <v>16</v>
      </c>
      <c r="U36" s="7" t="s">
        <v>15</v>
      </c>
      <c r="V36" s="7" t="s">
        <v>15</v>
      </c>
      <c r="W36" s="7" t="s">
        <v>15</v>
      </c>
      <c r="X36" s="7" t="s">
        <v>15</v>
      </c>
      <c r="Y36" s="28">
        <f t="shared" si="2"/>
        <v>0.95</v>
      </c>
      <c r="Z36" s="7">
        <f>IF(ISBLANK(E36),"",IF(E36=Truth!B$22,1,0))
</f>
        <v>0</v>
      </c>
      <c r="AA36" s="7">
        <f>IF(ISBLANK(F36),"",IF(F36=Truth!C$22,1,0))
</f>
        <v>1</v>
      </c>
      <c r="AB36" s="7">
        <f>IF(ISBLANK(G36),"",IF(G36=Truth!D$22,1,0))
</f>
        <v>0</v>
      </c>
      <c r="AC36" s="7">
        <f>IF(ISBLANK(H36),"",IF(H36=Truth!E$22,1,0))
</f>
        <v>0</v>
      </c>
      <c r="AD36" s="7">
        <f>IF(ISBLANK(I36),"",IF(I36=Truth!F$22,1,0))
</f>
        <v>1</v>
      </c>
      <c r="AE36" s="7">
        <f>IF(ISBLANK(J36),"",IF(J36=Truth!G$22,1,0))
</f>
        <v>0</v>
      </c>
      <c r="AF36" s="7">
        <f>IF(ISBLANK(K36),"",IF(K36=Truth!H$22,1,0))
</f>
        <v>1</v>
      </c>
      <c r="AG36" s="7">
        <f>IF(ISBLANK(L36),"",IF(L36=Truth!I$22,1,0))
</f>
        <v>1</v>
      </c>
      <c r="AH36" s="7">
        <f>IF(ISBLANK(M36),"",IF(M36=Truth!J$22,1,0))
</f>
        <v>1</v>
      </c>
      <c r="AI36" s="7">
        <f>IF(ISBLANK(N36),"",IF(N36=Truth!K$22,1,0))
</f>
        <v>1</v>
      </c>
      <c r="AJ36" s="7">
        <f>IF(ISBLANK(O36),"",IF(O36=Truth!L$22,1,0))
</f>
        <v>1</v>
      </c>
      <c r="AK36" s="7">
        <f>IF(ISBLANK(P36),"",IF(P36=Truth!M$22,1,0))
</f>
        <v>0</v>
      </c>
      <c r="AL36" s="7">
        <f>IF(ISBLANK(Q36),"",IF(Q36=Truth!N$22,1,0))
</f>
        <v>0</v>
      </c>
      <c r="AM36" s="7">
        <f>IF(ISBLANK(R36),"",IF(R36=Truth!O$22,1,0))
</f>
        <v>0</v>
      </c>
      <c r="AN36" s="7" t="str">
        <f>IF(ISBLANK(S36),"",IF(S36=Truth!P$22,1,0))
</f>
        <v/>
      </c>
      <c r="AO36" s="7">
        <f>IF(ISBLANK(T36),"",IF(T36=Truth!Q$22,1,0))
</f>
        <v>1</v>
      </c>
      <c r="AP36" s="7">
        <f>IF(ISBLANK(U36),"",IF(U36=Truth!R$22,1,0))
</f>
        <v>0</v>
      </c>
      <c r="AQ36" s="7">
        <f>IF(ISBLANK(V36),"",IF(V36=Truth!S$22,1,0))
</f>
        <v>1</v>
      </c>
      <c r="AR36" s="7">
        <f>IF(ISBLANK(W36),"",IF(W36=Truth!T$22,1,0))
</f>
        <v>0</v>
      </c>
      <c r="AS36" s="7">
        <f>IF(ISBLANK(X36),"",IF(X36=Truth!U$22,1,0))
</f>
        <v>1</v>
      </c>
      <c r="AT36" s="7">
        <f t="shared" si="3"/>
        <v>0.5263157895</v>
      </c>
      <c r="AU36" s="7">
        <f t="array" ref="AU36">SUM(N(LEN(TRIM(Z36:AS36))&gt;0))</f>
        <v>19</v>
      </c>
      <c r="AV36" s="7">
        <f t="shared" si="4"/>
        <v>10</v>
      </c>
    </row>
    <row r="37">
      <c r="A37" s="8" t="s">
        <v>93</v>
      </c>
      <c r="B37" s="8" t="str">
        <f>IF(COUNTIF('Fieldwork W1'!$A$4:$A$22, A37) &gt; 0, "1", IF(COUNTIF('Fieldwork W1'!$A$28:$A$46, A37) &gt; 0, "2", ""))</f>
        <v>2</v>
      </c>
      <c r="C37" s="8" t="str">
        <f>IF(COUNTIF('Fieldwork W2'!$A$4:$A$22, A37) &gt; 0, "1", IF(COUNTIF('Fieldwork W2'!$A$28:$A$46, A37) &gt; 0, "2", ""))</f>
        <v>1</v>
      </c>
      <c r="D37" s="8" t="str">
        <f t="shared" si="1"/>
        <v>21</v>
      </c>
      <c r="E37" s="8" t="s">
        <v>15</v>
      </c>
      <c r="F37" s="8" t="s">
        <v>16</v>
      </c>
      <c r="G37" s="8" t="s">
        <v>16</v>
      </c>
      <c r="H37" s="8" t="s">
        <v>16</v>
      </c>
      <c r="I37" s="8" t="s">
        <v>15</v>
      </c>
      <c r="J37" s="8" t="s">
        <v>15</v>
      </c>
      <c r="L37" s="8" t="s">
        <v>16</v>
      </c>
      <c r="M37" s="8" t="s">
        <v>15</v>
      </c>
      <c r="N37" s="8" t="s">
        <v>15</v>
      </c>
      <c r="O37" s="7" t="s">
        <v>16</v>
      </c>
      <c r="P37" s="7" t="s">
        <v>15</v>
      </c>
      <c r="Q37" s="7" t="s">
        <v>16</v>
      </c>
      <c r="R37" s="7" t="s">
        <v>15</v>
      </c>
      <c r="S37" s="7" t="s">
        <v>16</v>
      </c>
      <c r="T37" s="7" t="s">
        <v>15</v>
      </c>
      <c r="U37" s="7" t="s">
        <v>15</v>
      </c>
      <c r="V37" s="7" t="s">
        <v>15</v>
      </c>
      <c r="W37" s="7" t="s">
        <v>15</v>
      </c>
      <c r="X37" s="7" t="s">
        <v>15</v>
      </c>
      <c r="Y37" s="28">
        <f t="shared" si="2"/>
        <v>0.95</v>
      </c>
      <c r="Z37" s="7">
        <f>IF(ISBLANK(E37),"",IF(E37=Truth!B$23,1,0))
</f>
        <v>1</v>
      </c>
      <c r="AA37" s="7">
        <f>IF(ISBLANK(F37),"",IF(F37=Truth!C$23,1,0))
</f>
        <v>1</v>
      </c>
      <c r="AB37" s="7">
        <f>IF(ISBLANK(G37),"",IF(G37=Truth!D$23,1,0))
</f>
        <v>1</v>
      </c>
      <c r="AC37" s="7">
        <f>IF(ISBLANK(H37),"",IF(H37=Truth!E$23,1,0))
</f>
        <v>1</v>
      </c>
      <c r="AD37" s="7">
        <f>IF(ISBLANK(I37),"",IF(I37=Truth!F$23,1,0))
</f>
        <v>1</v>
      </c>
      <c r="AE37" s="7">
        <f>IF(ISBLANK(J37),"",IF(J37=Truth!G$23,1,0))
</f>
        <v>1</v>
      </c>
      <c r="AF37" s="7" t="str">
        <f>IF(ISBLANK(K37),"",IF(K37=Truth!H$23,1,0))
</f>
        <v/>
      </c>
      <c r="AG37" s="7">
        <f>IF(ISBLANK(L37),"",IF(L37=Truth!I$23,1,0))
</f>
        <v>1</v>
      </c>
      <c r="AH37" s="7">
        <f>IF(ISBLANK(M37),"",IF(M37=Truth!J$23,1,0))
</f>
        <v>1</v>
      </c>
      <c r="AI37" s="7">
        <f>IF(ISBLANK(N37),"",IF(N37=Truth!K$23,1,0))
</f>
        <v>0</v>
      </c>
      <c r="AJ37" s="7">
        <f>IF(ISBLANK(O37),"",IF(O37=Truth!L$23,1,0))
</f>
        <v>1</v>
      </c>
      <c r="AK37" s="7">
        <f>IF(ISBLANK(P37),"",IF(P37=Truth!M$23,1,0))
</f>
        <v>1</v>
      </c>
      <c r="AL37" s="7">
        <f>IF(ISBLANK(Q37),"",IF(Q37=Truth!N$23,1,0))
</f>
        <v>1</v>
      </c>
      <c r="AM37" s="7">
        <f>IF(ISBLANK(R37),"",IF(R37=Truth!O$23,1,0))
</f>
        <v>1</v>
      </c>
      <c r="AN37" s="7">
        <f>IF(ISBLANK(S37),"",IF(S37=Truth!P$23,1,0))
</f>
        <v>1</v>
      </c>
      <c r="AO37" s="7">
        <f>IF(ISBLANK(T37),"",IF(T37=Truth!Q$23,1,0))
</f>
        <v>1</v>
      </c>
      <c r="AP37" s="7">
        <f>IF(ISBLANK(U37),"",IF(U37=Truth!R$23,1,0))
</f>
        <v>0</v>
      </c>
      <c r="AQ37" s="7">
        <f>IF(ISBLANK(V37),"",IF(V37=Truth!S$23,1,0))
</f>
        <v>1</v>
      </c>
      <c r="AR37" s="7">
        <f>IF(ISBLANK(W37),"",IF(W37=Truth!T$23,1,0))
</f>
        <v>0</v>
      </c>
      <c r="AS37" s="7">
        <f>IF(ISBLANK(X37),"",IF(X37=Truth!U$23,1,0))
</f>
        <v>1</v>
      </c>
      <c r="AT37" s="7">
        <f t="shared" si="3"/>
        <v>0.8421052632</v>
      </c>
      <c r="AU37" s="7">
        <f t="array" ref="AU37">SUM(N(LEN(TRIM(Z37:AS37))&gt;0))</f>
        <v>19</v>
      </c>
      <c r="AV37" s="7">
        <f t="shared" si="4"/>
        <v>16</v>
      </c>
    </row>
    <row r="38">
      <c r="A38" s="8" t="s">
        <v>90</v>
      </c>
      <c r="B38" s="8" t="str">
        <f>IF(COUNTIF('Fieldwork W1'!$A$4:$A$22, A38) &gt; 0, "1", IF(COUNTIF('Fieldwork W1'!$A$28:$A$46, A38) &gt; 0, "2", ""))</f>
        <v>1</v>
      </c>
      <c r="C38" s="8" t="str">
        <f>IF(COUNTIF('Fieldwork W2'!$A$4:$A$22, A38) &gt; 0, "1", IF(COUNTIF('Fieldwork W2'!$A$28:$A$46, A38) &gt; 0, "2", ""))</f>
        <v>2</v>
      </c>
      <c r="D38" s="8" t="str">
        <f t="shared" si="1"/>
        <v>12</v>
      </c>
      <c r="L38" s="8" t="s">
        <v>16</v>
      </c>
      <c r="N38" s="8" t="s">
        <v>15</v>
      </c>
      <c r="O38" s="7" t="s">
        <v>15</v>
      </c>
      <c r="P38" s="7" t="s">
        <v>16</v>
      </c>
      <c r="Q38" s="7" t="s">
        <v>15</v>
      </c>
      <c r="R38" s="7" t="s">
        <v>15</v>
      </c>
      <c r="S38" s="7" t="s">
        <v>15</v>
      </c>
      <c r="T38" s="7" t="s">
        <v>16</v>
      </c>
      <c r="U38" s="7" t="s">
        <v>16</v>
      </c>
      <c r="V38" s="7" t="s">
        <v>15</v>
      </c>
      <c r="X38" s="7" t="s">
        <v>15</v>
      </c>
      <c r="Y38" s="28">
        <f t="shared" si="2"/>
        <v>0.55</v>
      </c>
      <c r="Z38" s="7" t="str">
        <f>IF(ISBLANK(E38),"",IF(E38=Truth!B$24,1,0))
</f>
        <v/>
      </c>
      <c r="AA38" s="7" t="str">
        <f>IF(ISBLANK(F38),"",IF(F38=Truth!C$24,1,0))
</f>
        <v/>
      </c>
      <c r="AB38" s="7" t="str">
        <f>IF(ISBLANK(G38),"",IF(G38=Truth!D$24,1,0))
</f>
        <v/>
      </c>
      <c r="AC38" s="7" t="str">
        <f>IF(ISBLANK(H38),"",IF(H38=Truth!E$24,1,0))
</f>
        <v/>
      </c>
      <c r="AD38" s="7" t="str">
        <f>IF(ISBLANK(I38),"",IF(I38=Truth!F$24,1,0))
</f>
        <v/>
      </c>
      <c r="AE38" s="7" t="str">
        <f>IF(ISBLANK(J38),"",IF(J38=Truth!G$24,1,0))
</f>
        <v/>
      </c>
      <c r="AF38" s="7" t="str">
        <f>IF(ISBLANK(K38),"",IF(K38=Truth!H$24,1,0))
</f>
        <v/>
      </c>
      <c r="AG38" s="7">
        <f>IF(ISBLANK(L38),"",IF(L38=Truth!I$24,1,0))
</f>
        <v>1</v>
      </c>
      <c r="AH38" s="7" t="str">
        <f>IF(ISBLANK(M38),"",IF(M38=Truth!J$24,1,0))
</f>
        <v/>
      </c>
      <c r="AI38" s="7">
        <f>IF(ISBLANK(N38),"",IF(N38=Truth!K$24,1,0))
</f>
        <v>1</v>
      </c>
      <c r="AJ38" s="7">
        <f>IF(ISBLANK(O38),"",IF(O38=Truth!L$24,1,0))
</f>
        <v>1</v>
      </c>
      <c r="AK38" s="7">
        <f>IF(ISBLANK(P38),"",IF(P38=Truth!M$24,1,0))
</f>
        <v>1</v>
      </c>
      <c r="AL38" s="7">
        <f>IF(ISBLANK(Q38),"",IF(Q38=Truth!N$24,1,0))
</f>
        <v>1</v>
      </c>
      <c r="AM38" s="7">
        <f>IF(ISBLANK(R38),"",IF(R38=Truth!O$24,1,0))
</f>
        <v>0</v>
      </c>
      <c r="AN38" s="7">
        <f>IF(ISBLANK(S38),"",IF(S38=Truth!P$24,1,0))
</f>
        <v>1</v>
      </c>
      <c r="AO38" s="7">
        <f>IF(ISBLANK(T38),"",IF(T38=Truth!Q$24,1,0))
</f>
        <v>1</v>
      </c>
      <c r="AP38" s="7">
        <f>IF(ISBLANK(U38),"",IF(U38=Truth!R$24,1,0))
</f>
        <v>1</v>
      </c>
      <c r="AQ38" s="7">
        <f>IF(ISBLANK(V38),"",IF(V38=Truth!S$24,1,0))
</f>
        <v>1</v>
      </c>
      <c r="AR38" s="7" t="str">
        <f>IF(ISBLANK(W38),"",IF(W38=Truth!T$24,1,0))
</f>
        <v/>
      </c>
      <c r="AS38" s="7">
        <f>IF(ISBLANK(X38),"",IF(X38=Truth!U$24,1,0))
</f>
        <v>1</v>
      </c>
      <c r="AT38" s="7">
        <f t="shared" si="3"/>
        <v>0.9090909091</v>
      </c>
      <c r="AU38" s="7">
        <f t="array" ref="AU38">SUM(N(LEN(TRIM(Z38:AS38))&gt;0))</f>
        <v>11</v>
      </c>
      <c r="AV38" s="7">
        <f t="shared" si="4"/>
        <v>10</v>
      </c>
    </row>
    <row r="39">
      <c r="A39" s="8" t="s">
        <v>91</v>
      </c>
      <c r="B39" s="8" t="str">
        <f>IF(COUNTIF('Fieldwork W1'!$A$4:$A$22, A39) &gt; 0, "1", IF(COUNTIF('Fieldwork W1'!$A$28:$A$46, A39) &gt; 0, "2", ""))</f>
        <v>1</v>
      </c>
      <c r="C39" s="8" t="str">
        <f>IF(COUNTIF('Fieldwork W2'!$A$4:$A$22, A39) &gt; 0, "1", IF(COUNTIF('Fieldwork W2'!$A$28:$A$46, A39) &gt; 0, "2", ""))</f>
        <v>1</v>
      </c>
      <c r="D39" s="8" t="str">
        <f t="shared" si="1"/>
        <v>11</v>
      </c>
      <c r="E39" s="8" t="s">
        <v>16</v>
      </c>
      <c r="F39" s="8" t="s">
        <v>16</v>
      </c>
      <c r="G39" s="8" t="s">
        <v>16</v>
      </c>
      <c r="H39" s="8" t="s">
        <v>16</v>
      </c>
      <c r="I39" s="8" t="s">
        <v>15</v>
      </c>
      <c r="J39" s="8" t="s">
        <v>15</v>
      </c>
      <c r="K39" s="8" t="s">
        <v>15</v>
      </c>
      <c r="L39" s="8" t="s">
        <v>16</v>
      </c>
      <c r="M39" s="8" t="s">
        <v>15</v>
      </c>
      <c r="N39" s="8" t="s">
        <v>16</v>
      </c>
      <c r="O39" s="7" t="s">
        <v>16</v>
      </c>
      <c r="Q39" s="7" t="s">
        <v>16</v>
      </c>
      <c r="T39" s="7" t="s">
        <v>15</v>
      </c>
      <c r="U39" s="7" t="s">
        <v>16</v>
      </c>
      <c r="V39" s="7" t="s">
        <v>15</v>
      </c>
      <c r="W39" s="7" t="s">
        <v>16</v>
      </c>
      <c r="X39" s="7" t="s">
        <v>15</v>
      </c>
      <c r="Y39" s="28">
        <f t="shared" si="2"/>
        <v>0.85</v>
      </c>
      <c r="Z39" s="7">
        <f>IF(ISBLANK(E39),"",IF(E39=Truth!B$23,1,0))
</f>
        <v>0</v>
      </c>
      <c r="AA39" s="7">
        <f>IF(ISBLANK(F39),"",IF(F39=Truth!C$23,1,0))
</f>
        <v>1</v>
      </c>
      <c r="AB39" s="7">
        <f>IF(ISBLANK(G39),"",IF(G39=Truth!D$23,1,0))
</f>
        <v>1</v>
      </c>
      <c r="AC39" s="7">
        <f>IF(ISBLANK(H39),"",IF(H39=Truth!E$23,1,0))
</f>
        <v>1</v>
      </c>
      <c r="AD39" s="7">
        <f>IF(ISBLANK(I39),"",IF(I39=Truth!F$23,1,0))
</f>
        <v>1</v>
      </c>
      <c r="AE39" s="7">
        <f>IF(ISBLANK(J39),"",IF(J39=Truth!G$23,1,0))
</f>
        <v>1</v>
      </c>
      <c r="AF39" s="7">
        <f>IF(ISBLANK(K39),"",IF(K39=Truth!H$23,1,0))
</f>
        <v>1</v>
      </c>
      <c r="AG39" s="7">
        <f>IF(ISBLANK(L39),"",IF(L39=Truth!I$23,1,0))
</f>
        <v>1</v>
      </c>
      <c r="AH39" s="7">
        <f>IF(ISBLANK(M39),"",IF(M39=Truth!J$23,1,0))
</f>
        <v>1</v>
      </c>
      <c r="AI39" s="7">
        <f>IF(ISBLANK(N39),"",IF(N39=Truth!K$23,1,0))
</f>
        <v>1</v>
      </c>
      <c r="AJ39" s="7">
        <f>IF(ISBLANK(O39),"",IF(O39=Truth!L$23,1,0))
</f>
        <v>1</v>
      </c>
      <c r="AK39" s="7" t="str">
        <f>IF(ISBLANK(P39),"",IF(P39=Truth!M$23,1,0))
</f>
        <v/>
      </c>
      <c r="AL39" s="7">
        <f>IF(ISBLANK(Q39),"",IF(Q39=Truth!N$23,1,0))
</f>
        <v>1</v>
      </c>
      <c r="AM39" s="7" t="str">
        <f>IF(ISBLANK(R39),"",IF(R39=Truth!O$23,1,0))
</f>
        <v/>
      </c>
      <c r="AN39" s="7" t="str">
        <f>IF(ISBLANK(S39),"",IF(S39=Truth!P$23,1,0))
</f>
        <v/>
      </c>
      <c r="AO39" s="7">
        <f>IF(ISBLANK(T39),"",IF(T39=Truth!Q$23,1,0))
</f>
        <v>1</v>
      </c>
      <c r="AP39" s="7">
        <f>IF(ISBLANK(U39),"",IF(U39=Truth!R$23,1,0))
</f>
        <v>1</v>
      </c>
      <c r="AQ39" s="7">
        <f>IF(ISBLANK(V39),"",IF(V39=Truth!S$23,1,0))
</f>
        <v>1</v>
      </c>
      <c r="AR39" s="7">
        <f>IF(ISBLANK(W39),"",IF(W39=Truth!T$23,1,0))
</f>
        <v>1</v>
      </c>
      <c r="AS39" s="7">
        <f>IF(ISBLANK(X39),"",IF(X39=Truth!U$23,1,0))
</f>
        <v>1</v>
      </c>
      <c r="AT39" s="7">
        <f t="shared" si="3"/>
        <v>0.9411764706</v>
      </c>
      <c r="AU39" s="7">
        <f t="array" ref="AU39">SUM(N(LEN(TRIM(Z39:AS39))&gt;0))</f>
        <v>17</v>
      </c>
      <c r="AV39" s="7">
        <f t="shared" si="4"/>
        <v>16</v>
      </c>
    </row>
    <row r="43">
      <c r="Y43" s="9"/>
    </row>
    <row r="45">
      <c r="Y45" s="9"/>
    </row>
    <row r="46">
      <c r="Y46" s="9"/>
    </row>
    <row r="48">
      <c r="Y48"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row>
    <row r="2">
      <c r="A2" s="10" t="s">
        <v>21</v>
      </c>
      <c r="B2" s="12"/>
      <c r="C2" s="12"/>
      <c r="D2" s="12"/>
      <c r="E2" s="12"/>
      <c r="F2" s="12"/>
      <c r="G2" s="12"/>
      <c r="H2" s="12"/>
      <c r="I2" s="12"/>
      <c r="J2" s="13"/>
    </row>
    <row r="3">
      <c r="A3" s="14" t="s">
        <v>47</v>
      </c>
      <c r="B3" s="15" t="s">
        <v>52</v>
      </c>
      <c r="C3" s="15" t="s">
        <v>55</v>
      </c>
      <c r="D3" s="15" t="s">
        <v>57</v>
      </c>
      <c r="E3" s="15" t="s">
        <v>59</v>
      </c>
      <c r="F3" s="15" t="s">
        <v>62</v>
      </c>
      <c r="G3" s="15" t="s">
        <v>64</v>
      </c>
      <c r="H3" s="15" t="s">
        <v>65</v>
      </c>
      <c r="I3" s="15" t="s">
        <v>68</v>
      </c>
      <c r="J3" s="16" t="s">
        <v>72</v>
      </c>
    </row>
    <row r="4">
      <c r="A4" s="17" t="s">
        <v>79</v>
      </c>
      <c r="B4" s="8" t="s">
        <v>83</v>
      </c>
      <c r="C4" s="8" t="s">
        <v>83</v>
      </c>
      <c r="D4" s="8" t="s">
        <v>83</v>
      </c>
      <c r="E4" s="8" t="s">
        <v>79</v>
      </c>
      <c r="F4" s="8" t="s">
        <v>79</v>
      </c>
      <c r="G4" s="8" t="s">
        <v>79</v>
      </c>
      <c r="H4" s="8" t="s">
        <v>83</v>
      </c>
      <c r="I4" s="8" t="s">
        <v>79</v>
      </c>
      <c r="J4" s="18" t="s">
        <v>83</v>
      </c>
    </row>
    <row r="5">
      <c r="A5" s="19" t="s">
        <v>15</v>
      </c>
      <c r="B5" s="20" t="s">
        <v>16</v>
      </c>
      <c r="C5" s="20" t="s">
        <v>16</v>
      </c>
      <c r="D5" s="20" t="s">
        <v>16</v>
      </c>
      <c r="E5" s="20" t="s">
        <v>15</v>
      </c>
      <c r="F5" s="20" t="s">
        <v>15</v>
      </c>
      <c r="G5" s="20" t="s">
        <v>15</v>
      </c>
      <c r="H5" s="20" t="s">
        <v>16</v>
      </c>
      <c r="I5" s="20" t="s">
        <v>15</v>
      </c>
      <c r="J5" s="21" t="s">
        <v>16</v>
      </c>
    </row>
    <row r="6">
      <c r="A6" s="10" t="s">
        <v>96</v>
      </c>
      <c r="B6" s="12"/>
      <c r="C6" s="12"/>
      <c r="D6" s="12"/>
      <c r="E6" s="12"/>
      <c r="F6" s="12"/>
      <c r="G6" s="12"/>
      <c r="H6" s="12"/>
      <c r="I6" s="12"/>
      <c r="J6" s="13"/>
    </row>
    <row r="7">
      <c r="A7" s="14" t="s">
        <v>47</v>
      </c>
      <c r="B7" s="15" t="s">
        <v>52</v>
      </c>
      <c r="C7" s="15" t="s">
        <v>55</v>
      </c>
      <c r="D7" s="15" t="s">
        <v>57</v>
      </c>
      <c r="E7" s="15" t="s">
        <v>59</v>
      </c>
      <c r="F7" s="15" t="s">
        <v>62</v>
      </c>
      <c r="G7" s="15" t="s">
        <v>64</v>
      </c>
      <c r="H7" s="15" t="s">
        <v>65</v>
      </c>
      <c r="I7" s="15" t="s">
        <v>68</v>
      </c>
      <c r="J7" s="16" t="s">
        <v>72</v>
      </c>
    </row>
    <row r="8">
      <c r="A8" s="17" t="s">
        <v>79</v>
      </c>
      <c r="B8" s="8" t="s">
        <v>83</v>
      </c>
      <c r="C8" s="8" t="s">
        <v>83</v>
      </c>
      <c r="D8" s="8" t="s">
        <v>83</v>
      </c>
      <c r="E8" s="8" t="s">
        <v>79</v>
      </c>
      <c r="F8" s="8" t="s">
        <v>79</v>
      </c>
      <c r="G8" s="8" t="s">
        <v>83</v>
      </c>
      <c r="H8" s="8" t="s">
        <v>83</v>
      </c>
      <c r="I8" s="8" t="s">
        <v>79</v>
      </c>
      <c r="J8" s="18" t="s">
        <v>79</v>
      </c>
    </row>
    <row r="9">
      <c r="A9" s="19" t="s">
        <v>15</v>
      </c>
      <c r="B9" s="20" t="s">
        <v>16</v>
      </c>
      <c r="C9" s="20" t="s">
        <v>16</v>
      </c>
      <c r="D9" s="20" t="s">
        <v>16</v>
      </c>
      <c r="E9" s="20" t="s">
        <v>15</v>
      </c>
      <c r="F9" s="20" t="s">
        <v>15</v>
      </c>
      <c r="G9" s="20" t="s">
        <v>16</v>
      </c>
      <c r="H9" s="20" t="s">
        <v>16</v>
      </c>
      <c r="I9" s="20" t="s">
        <v>15</v>
      </c>
      <c r="J9" s="21" t="s">
        <v>15</v>
      </c>
    </row>
    <row r="11">
      <c r="A11" s="9" t="s">
        <v>102</v>
      </c>
    </row>
    <row r="12">
      <c r="A12" s="22" t="s">
        <v>21</v>
      </c>
      <c r="B12" s="12"/>
      <c r="C12" s="12"/>
      <c r="D12" s="12"/>
      <c r="E12" s="12"/>
      <c r="F12" s="12"/>
      <c r="G12" s="12"/>
      <c r="H12" s="12"/>
      <c r="I12" s="12"/>
      <c r="J12" s="13"/>
    </row>
    <row r="13">
      <c r="A13" s="14" t="s">
        <v>47</v>
      </c>
      <c r="B13" s="15" t="s">
        <v>52</v>
      </c>
      <c r="C13" s="15" t="s">
        <v>55</v>
      </c>
      <c r="D13" s="15" t="s">
        <v>57</v>
      </c>
      <c r="E13" s="15" t="s">
        <v>59</v>
      </c>
      <c r="F13" s="15" t="s">
        <v>62</v>
      </c>
      <c r="G13" s="15" t="s">
        <v>64</v>
      </c>
      <c r="H13" s="15" t="s">
        <v>65</v>
      </c>
      <c r="I13" s="15" t="s">
        <v>68</v>
      </c>
      <c r="J13" s="16" t="s">
        <v>72</v>
      </c>
    </row>
    <row r="14">
      <c r="A14" s="17" t="s">
        <v>108</v>
      </c>
      <c r="B14" s="8" t="s">
        <v>109</v>
      </c>
      <c r="C14" s="8" t="s">
        <v>108</v>
      </c>
      <c r="D14" s="8" t="s">
        <v>109</v>
      </c>
      <c r="E14" s="8" t="s">
        <v>108</v>
      </c>
      <c r="F14" s="8" t="s">
        <v>111</v>
      </c>
      <c r="G14" s="8" t="s">
        <v>109</v>
      </c>
      <c r="H14" s="8" t="s">
        <v>108</v>
      </c>
      <c r="I14" s="8" t="s">
        <v>112</v>
      </c>
      <c r="J14" s="18" t="s">
        <v>108</v>
      </c>
    </row>
    <row r="15">
      <c r="A15" s="19" t="s">
        <v>15</v>
      </c>
      <c r="B15" s="20" t="s">
        <v>16</v>
      </c>
      <c r="C15" s="20" t="s">
        <v>15</v>
      </c>
      <c r="D15" s="20" t="s">
        <v>16</v>
      </c>
      <c r="E15" s="20" t="s">
        <v>15</v>
      </c>
      <c r="F15" s="20" t="s">
        <v>16</v>
      </c>
      <c r="G15" s="20" t="s">
        <v>16</v>
      </c>
      <c r="H15" s="20" t="s">
        <v>15</v>
      </c>
      <c r="I15" s="20" t="s">
        <v>16</v>
      </c>
      <c r="J15" s="21" t="s">
        <v>15</v>
      </c>
    </row>
    <row r="16">
      <c r="A16" s="22" t="s">
        <v>96</v>
      </c>
      <c r="B16" s="12"/>
      <c r="C16" s="12"/>
      <c r="D16" s="12"/>
      <c r="E16" s="12"/>
      <c r="F16" s="12"/>
      <c r="G16" s="12"/>
      <c r="H16" s="12"/>
      <c r="I16" s="12"/>
      <c r="J16" s="13"/>
    </row>
    <row r="17">
      <c r="A17" s="14" t="s">
        <v>47</v>
      </c>
      <c r="B17" s="15" t="s">
        <v>52</v>
      </c>
      <c r="C17" s="15" t="s">
        <v>55</v>
      </c>
      <c r="D17" s="15" t="s">
        <v>57</v>
      </c>
      <c r="E17" s="15" t="s">
        <v>59</v>
      </c>
      <c r="F17" s="15" t="s">
        <v>62</v>
      </c>
      <c r="G17" s="15" t="s">
        <v>64</v>
      </c>
      <c r="H17" s="15" t="s">
        <v>65</v>
      </c>
      <c r="I17" s="15" t="s">
        <v>68</v>
      </c>
      <c r="J17" s="16" t="s">
        <v>72</v>
      </c>
    </row>
    <row r="18">
      <c r="A18" s="17" t="s">
        <v>109</v>
      </c>
      <c r="B18" s="8" t="s">
        <v>108</v>
      </c>
      <c r="C18" s="8" t="s">
        <v>109</v>
      </c>
      <c r="D18" s="8" t="s">
        <v>108</v>
      </c>
      <c r="E18" s="8" t="s">
        <v>109</v>
      </c>
      <c r="F18" s="8" t="s">
        <v>108</v>
      </c>
      <c r="G18" s="8" t="s">
        <v>109</v>
      </c>
      <c r="H18" s="8" t="s">
        <v>108</v>
      </c>
      <c r="I18" s="8" t="s">
        <v>112</v>
      </c>
      <c r="J18" s="18" t="s">
        <v>108</v>
      </c>
    </row>
    <row r="19">
      <c r="A19" s="19" t="s">
        <v>16</v>
      </c>
      <c r="B19" s="20" t="s">
        <v>15</v>
      </c>
      <c r="C19" s="20" t="s">
        <v>16</v>
      </c>
      <c r="D19" s="20" t="s">
        <v>15</v>
      </c>
      <c r="E19" s="20" t="s">
        <v>16</v>
      </c>
      <c r="F19" s="20" t="s">
        <v>15</v>
      </c>
      <c r="G19" s="20" t="s">
        <v>16</v>
      </c>
      <c r="H19" s="20" t="s">
        <v>15</v>
      </c>
      <c r="I19" s="20" t="s">
        <v>16</v>
      </c>
      <c r="J19" s="21" t="s">
        <v>15</v>
      </c>
    </row>
    <row r="21">
      <c r="A21" s="10" t="s">
        <v>121</v>
      </c>
      <c r="B21" s="25" t="s">
        <v>47</v>
      </c>
      <c r="C21" s="25" t="s">
        <v>52</v>
      </c>
      <c r="D21" s="25" t="s">
        <v>55</v>
      </c>
      <c r="E21" s="25" t="s">
        <v>57</v>
      </c>
      <c r="F21" s="25" t="s">
        <v>59</v>
      </c>
      <c r="G21" s="25" t="s">
        <v>62</v>
      </c>
      <c r="H21" s="25" t="s">
        <v>64</v>
      </c>
      <c r="I21" s="25" t="s">
        <v>65</v>
      </c>
      <c r="J21" s="25" t="s">
        <v>68</v>
      </c>
      <c r="K21" s="25" t="s">
        <v>72</v>
      </c>
      <c r="L21" s="25" t="s">
        <v>123</v>
      </c>
      <c r="M21" s="25" t="s">
        <v>124</v>
      </c>
      <c r="N21" s="25" t="s">
        <v>125</v>
      </c>
      <c r="O21" s="25" t="s">
        <v>126</v>
      </c>
      <c r="P21" s="25" t="s">
        <v>127</v>
      </c>
      <c r="Q21" s="25" t="s">
        <v>128</v>
      </c>
      <c r="R21" s="25" t="s">
        <v>129</v>
      </c>
      <c r="S21" s="25" t="s">
        <v>130</v>
      </c>
      <c r="T21" s="25" t="s">
        <v>131</v>
      </c>
      <c r="U21" s="26" t="s">
        <v>132</v>
      </c>
    </row>
    <row r="22">
      <c r="A22" s="27">
        <v>11.0</v>
      </c>
      <c r="B22" s="8" t="s">
        <v>15</v>
      </c>
      <c r="C22" s="8" t="s">
        <v>16</v>
      </c>
      <c r="D22" s="8" t="s">
        <v>16</v>
      </c>
      <c r="E22" s="8" t="s">
        <v>16</v>
      </c>
      <c r="F22" s="8" t="s">
        <v>15</v>
      </c>
      <c r="G22" s="8" t="s">
        <v>15</v>
      </c>
      <c r="H22" s="8" t="s">
        <v>15</v>
      </c>
      <c r="I22" s="8" t="s">
        <v>16</v>
      </c>
      <c r="J22" s="8" t="s">
        <v>15</v>
      </c>
      <c r="K22" s="8" t="s">
        <v>16</v>
      </c>
      <c r="L22" s="8" t="s">
        <v>15</v>
      </c>
      <c r="M22" s="8" t="s">
        <v>16</v>
      </c>
      <c r="N22" s="8" t="s">
        <v>15</v>
      </c>
      <c r="O22" s="8" t="s">
        <v>16</v>
      </c>
      <c r="P22" s="8" t="s">
        <v>15</v>
      </c>
      <c r="Q22" s="8" t="s">
        <v>16</v>
      </c>
      <c r="R22" s="8" t="s">
        <v>16</v>
      </c>
      <c r="S22" s="8" t="s">
        <v>15</v>
      </c>
      <c r="T22" s="8" t="s">
        <v>16</v>
      </c>
      <c r="U22" s="18" t="s">
        <v>15</v>
      </c>
    </row>
    <row r="23">
      <c r="A23" s="27">
        <v>12.0</v>
      </c>
      <c r="B23" s="8" t="s">
        <v>15</v>
      </c>
      <c r="C23" s="8" t="s">
        <v>16</v>
      </c>
      <c r="D23" s="8" t="s">
        <v>16</v>
      </c>
      <c r="E23" s="8" t="s">
        <v>16</v>
      </c>
      <c r="F23" s="8" t="s">
        <v>15</v>
      </c>
      <c r="G23" s="8" t="s">
        <v>15</v>
      </c>
      <c r="H23" s="8" t="s">
        <v>15</v>
      </c>
      <c r="I23" s="8" t="s">
        <v>16</v>
      </c>
      <c r="J23" s="8" t="s">
        <v>15</v>
      </c>
      <c r="K23" s="8" t="s">
        <v>16</v>
      </c>
      <c r="L23" s="8" t="s">
        <v>16</v>
      </c>
      <c r="M23" s="8" t="s">
        <v>15</v>
      </c>
      <c r="N23" s="8" t="s">
        <v>16</v>
      </c>
      <c r="O23" s="8" t="s">
        <v>15</v>
      </c>
      <c r="P23" s="8" t="s">
        <v>16</v>
      </c>
      <c r="Q23" s="8" t="s">
        <v>15</v>
      </c>
      <c r="R23" s="8" t="s">
        <v>16</v>
      </c>
      <c r="S23" s="8" t="s">
        <v>15</v>
      </c>
      <c r="T23" s="8" t="s">
        <v>16</v>
      </c>
      <c r="U23" s="18" t="s">
        <v>15</v>
      </c>
    </row>
    <row r="24">
      <c r="A24" s="27">
        <v>21.0</v>
      </c>
      <c r="B24" s="8" t="s">
        <v>15</v>
      </c>
      <c r="C24" s="8" t="s">
        <v>16</v>
      </c>
      <c r="D24" s="8" t="s">
        <v>16</v>
      </c>
      <c r="E24" s="8" t="s">
        <v>16</v>
      </c>
      <c r="F24" s="8" t="s">
        <v>15</v>
      </c>
      <c r="G24" s="8" t="s">
        <v>15</v>
      </c>
      <c r="H24" s="8" t="s">
        <v>16</v>
      </c>
      <c r="I24" s="8" t="s">
        <v>16</v>
      </c>
      <c r="J24" s="8" t="s">
        <v>15</v>
      </c>
      <c r="K24" s="8" t="s">
        <v>15</v>
      </c>
      <c r="L24" s="8" t="s">
        <v>15</v>
      </c>
      <c r="M24" s="8" t="s">
        <v>16</v>
      </c>
      <c r="N24" s="8" t="s">
        <v>15</v>
      </c>
      <c r="O24" s="8" t="s">
        <v>16</v>
      </c>
      <c r="P24" s="8" t="s">
        <v>15</v>
      </c>
      <c r="Q24" s="8" t="s">
        <v>16</v>
      </c>
      <c r="R24" s="8" t="s">
        <v>16</v>
      </c>
      <c r="S24" s="8" t="s">
        <v>15</v>
      </c>
      <c r="T24" s="8" t="s">
        <v>16</v>
      </c>
      <c r="U24" s="18" t="s">
        <v>15</v>
      </c>
    </row>
    <row r="25">
      <c r="A25" s="30">
        <v>22.0</v>
      </c>
      <c r="B25" s="20" t="s">
        <v>15</v>
      </c>
      <c r="C25" s="20" t="s">
        <v>16</v>
      </c>
      <c r="D25" s="20" t="s">
        <v>16</v>
      </c>
      <c r="E25" s="20" t="s">
        <v>16</v>
      </c>
      <c r="F25" s="20" t="s">
        <v>15</v>
      </c>
      <c r="G25" s="20" t="s">
        <v>15</v>
      </c>
      <c r="H25" s="20" t="s">
        <v>16</v>
      </c>
      <c r="I25" s="20" t="s">
        <v>16</v>
      </c>
      <c r="J25" s="20" t="s">
        <v>15</v>
      </c>
      <c r="K25" s="20" t="s">
        <v>15</v>
      </c>
      <c r="L25" s="20" t="s">
        <v>16</v>
      </c>
      <c r="M25" s="20" t="s">
        <v>15</v>
      </c>
      <c r="N25" s="20" t="s">
        <v>16</v>
      </c>
      <c r="O25" s="20" t="s">
        <v>15</v>
      </c>
      <c r="P25" s="20" t="s">
        <v>16</v>
      </c>
      <c r="Q25" s="20" t="s">
        <v>15</v>
      </c>
      <c r="R25" s="20" t="s">
        <v>16</v>
      </c>
      <c r="S25" s="20" t="s">
        <v>15</v>
      </c>
      <c r="T25" s="20" t="s">
        <v>16</v>
      </c>
      <c r="U25" s="21" t="s">
        <v>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4.0"/>
    <col customWidth="1" min="3" max="3" width="15.13"/>
    <col customWidth="1" min="6" max="6" width="41.0"/>
  </cols>
  <sheetData>
    <row r="1">
      <c r="A1" s="9" t="s">
        <v>14</v>
      </c>
      <c r="B1" s="9" t="s">
        <v>145</v>
      </c>
      <c r="C1" s="9" t="s">
        <v>146</v>
      </c>
      <c r="D1" s="9" t="s">
        <v>147</v>
      </c>
      <c r="E1" s="9" t="s">
        <v>148</v>
      </c>
      <c r="F1" s="31" t="s">
        <v>149</v>
      </c>
      <c r="G1" s="31" t="s">
        <v>150</v>
      </c>
    </row>
    <row r="2">
      <c r="A2" s="8">
        <v>1.0</v>
      </c>
      <c r="B2" s="8" t="s">
        <v>151</v>
      </c>
      <c r="C2" s="8" t="s">
        <v>152</v>
      </c>
      <c r="D2" s="8" t="s">
        <v>153</v>
      </c>
      <c r="E2" s="8" t="s">
        <v>154</v>
      </c>
      <c r="F2" s="32" t="s">
        <v>155</v>
      </c>
      <c r="G2" s="33"/>
    </row>
    <row r="3">
      <c r="A3" s="8">
        <v>2.0</v>
      </c>
      <c r="B3" s="8" t="s">
        <v>156</v>
      </c>
      <c r="C3" s="8" t="s">
        <v>157</v>
      </c>
      <c r="D3" s="8" t="s">
        <v>158</v>
      </c>
      <c r="E3" s="8" t="s">
        <v>154</v>
      </c>
      <c r="F3" s="32" t="s">
        <v>159</v>
      </c>
      <c r="G3" s="34" t="s">
        <v>160</v>
      </c>
    </row>
    <row r="4">
      <c r="A4" s="8">
        <v>3.0</v>
      </c>
      <c r="B4" s="8" t="s">
        <v>175</v>
      </c>
      <c r="C4" s="8" t="s">
        <v>157</v>
      </c>
      <c r="D4" s="8" t="s">
        <v>177</v>
      </c>
      <c r="E4" s="8" t="s">
        <v>154</v>
      </c>
      <c r="F4" s="32" t="s">
        <v>178</v>
      </c>
      <c r="G4" s="33"/>
    </row>
    <row r="5">
      <c r="A5" s="8">
        <v>4.0</v>
      </c>
      <c r="B5" s="8" t="s">
        <v>179</v>
      </c>
      <c r="C5" s="8" t="s">
        <v>157</v>
      </c>
      <c r="D5" s="8" t="s">
        <v>180</v>
      </c>
      <c r="E5" s="8" t="s">
        <v>182</v>
      </c>
      <c r="F5" s="32" t="s">
        <v>183</v>
      </c>
      <c r="G5" s="3" t="s">
        <v>184</v>
      </c>
    </row>
    <row r="6">
      <c r="A6" s="8">
        <v>5.0</v>
      </c>
      <c r="B6" s="8" t="s">
        <v>190</v>
      </c>
      <c r="C6" s="8" t="s">
        <v>152</v>
      </c>
      <c r="D6" s="8" t="s">
        <v>191</v>
      </c>
      <c r="E6" s="8" t="s">
        <v>192</v>
      </c>
      <c r="F6" s="32" t="s">
        <v>193</v>
      </c>
      <c r="G6" s="33"/>
    </row>
    <row r="7">
      <c r="A7" s="8">
        <v>6.0</v>
      </c>
      <c r="B7" s="8" t="s">
        <v>195</v>
      </c>
      <c r="C7" s="8" t="s">
        <v>152</v>
      </c>
      <c r="D7" s="8" t="s">
        <v>153</v>
      </c>
      <c r="E7" s="8" t="s">
        <v>154</v>
      </c>
      <c r="F7" s="32" t="s">
        <v>196</v>
      </c>
      <c r="G7" s="33"/>
    </row>
    <row r="8">
      <c r="A8" s="8">
        <v>7.0</v>
      </c>
      <c r="B8" s="8" t="s">
        <v>197</v>
      </c>
      <c r="C8" s="8" t="s">
        <v>152</v>
      </c>
      <c r="D8" s="8" t="s">
        <v>198</v>
      </c>
      <c r="E8" s="8" t="s">
        <v>182</v>
      </c>
      <c r="F8" s="32" t="s">
        <v>199</v>
      </c>
      <c r="G8" s="33"/>
    </row>
    <row r="9">
      <c r="A9" s="8">
        <v>8.0</v>
      </c>
      <c r="B9" s="8" t="s">
        <v>200</v>
      </c>
      <c r="C9" s="8" t="s">
        <v>157</v>
      </c>
      <c r="D9" s="8" t="s">
        <v>201</v>
      </c>
      <c r="E9" s="8" t="s">
        <v>154</v>
      </c>
      <c r="F9" s="32" t="s">
        <v>202</v>
      </c>
      <c r="G9" s="34" t="s">
        <v>203</v>
      </c>
    </row>
    <row r="10">
      <c r="A10" s="8">
        <v>9.0</v>
      </c>
      <c r="B10" s="8" t="s">
        <v>204</v>
      </c>
      <c r="C10" s="8" t="s">
        <v>152</v>
      </c>
      <c r="D10" s="8" t="s">
        <v>205</v>
      </c>
      <c r="E10" s="8" t="s">
        <v>206</v>
      </c>
      <c r="F10" s="32" t="s">
        <v>207</v>
      </c>
      <c r="G10" s="33"/>
    </row>
    <row r="11" ht="15.0" customHeight="1">
      <c r="A11" s="8">
        <v>10.0</v>
      </c>
      <c r="B11" s="8" t="s">
        <v>208</v>
      </c>
      <c r="C11" s="8" t="s">
        <v>157</v>
      </c>
      <c r="D11" s="8" t="s">
        <v>158</v>
      </c>
      <c r="E11" s="8" t="s">
        <v>192</v>
      </c>
      <c r="F11" s="32" t="s">
        <v>209</v>
      </c>
      <c r="G11" s="3" t="s">
        <v>210</v>
      </c>
    </row>
    <row r="12">
      <c r="A12" s="8">
        <v>11.0</v>
      </c>
      <c r="B12" s="8" t="s">
        <v>211</v>
      </c>
      <c r="C12" s="8" t="s">
        <v>152</v>
      </c>
      <c r="D12" s="8" t="s">
        <v>212</v>
      </c>
      <c r="E12" s="8" t="s">
        <v>154</v>
      </c>
      <c r="F12" s="32" t="s">
        <v>213</v>
      </c>
      <c r="G12" s="33"/>
    </row>
    <row r="13">
      <c r="A13" s="8">
        <v>12.0</v>
      </c>
      <c r="B13" s="8" t="s">
        <v>214</v>
      </c>
      <c r="C13" s="8" t="s">
        <v>157</v>
      </c>
      <c r="D13" s="8" t="s">
        <v>180</v>
      </c>
      <c r="E13" s="8" t="s">
        <v>154</v>
      </c>
      <c r="F13" s="32" t="s">
        <v>215</v>
      </c>
      <c r="G13" s="33"/>
    </row>
    <row r="14">
      <c r="A14" s="8">
        <v>13.0</v>
      </c>
      <c r="B14" s="8" t="s">
        <v>216</v>
      </c>
      <c r="C14" s="8" t="s">
        <v>157</v>
      </c>
      <c r="D14" s="8" t="s">
        <v>158</v>
      </c>
      <c r="E14" s="8" t="s">
        <v>154</v>
      </c>
      <c r="F14" s="32" t="s">
        <v>217</v>
      </c>
      <c r="G14" s="33"/>
    </row>
    <row r="15">
      <c r="A15" s="8">
        <v>14.0</v>
      </c>
      <c r="B15" s="8" t="s">
        <v>218</v>
      </c>
      <c r="C15" s="8" t="s">
        <v>157</v>
      </c>
      <c r="D15" s="8" t="s">
        <v>205</v>
      </c>
      <c r="E15" s="8" t="s">
        <v>182</v>
      </c>
      <c r="F15" s="32" t="s">
        <v>219</v>
      </c>
      <c r="G15" s="3" t="s">
        <v>220</v>
      </c>
    </row>
    <row r="16">
      <c r="A16" s="8">
        <v>15.0</v>
      </c>
      <c r="B16" s="8" t="s">
        <v>221</v>
      </c>
      <c r="C16" s="8" t="s">
        <v>152</v>
      </c>
      <c r="D16" s="8" t="s">
        <v>180</v>
      </c>
      <c r="E16" s="8" t="s">
        <v>192</v>
      </c>
      <c r="F16" s="32" t="s">
        <v>222</v>
      </c>
      <c r="G16" s="33"/>
    </row>
    <row r="17">
      <c r="A17" s="8">
        <v>16.0</v>
      </c>
      <c r="B17" s="8" t="s">
        <v>223</v>
      </c>
      <c r="C17" s="8" t="s">
        <v>152</v>
      </c>
      <c r="D17" s="8" t="s">
        <v>153</v>
      </c>
      <c r="E17" s="8" t="s">
        <v>182</v>
      </c>
      <c r="F17" s="32" t="s">
        <v>224</v>
      </c>
      <c r="G17" s="33"/>
    </row>
    <row r="18">
      <c r="A18" s="8">
        <v>17.0</v>
      </c>
      <c r="B18" s="8" t="s">
        <v>225</v>
      </c>
      <c r="C18" s="8" t="s">
        <v>157</v>
      </c>
      <c r="D18" s="8" t="s">
        <v>201</v>
      </c>
      <c r="E18" s="8" t="s">
        <v>154</v>
      </c>
      <c r="F18" s="32" t="s">
        <v>226</v>
      </c>
      <c r="G18" s="33"/>
    </row>
    <row r="19">
      <c r="A19" s="8">
        <v>18.0</v>
      </c>
      <c r="B19" s="8" t="s">
        <v>227</v>
      </c>
      <c r="C19" s="8" t="s">
        <v>157</v>
      </c>
      <c r="D19" s="8" t="s">
        <v>212</v>
      </c>
      <c r="E19" s="8" t="s">
        <v>154</v>
      </c>
      <c r="F19" s="32" t="s">
        <v>228</v>
      </c>
      <c r="G19" s="33"/>
    </row>
    <row r="20">
      <c r="A20" s="8">
        <v>19.0</v>
      </c>
      <c r="B20" s="8" t="s">
        <v>229</v>
      </c>
      <c r="C20" s="8" t="s">
        <v>152</v>
      </c>
      <c r="D20" s="8" t="s">
        <v>180</v>
      </c>
      <c r="E20" s="8" t="s">
        <v>182</v>
      </c>
      <c r="F20" s="32" t="s">
        <v>230</v>
      </c>
      <c r="G20" s="33"/>
    </row>
    <row r="21">
      <c r="A21" s="8">
        <v>20.0</v>
      </c>
      <c r="B21" s="8" t="s">
        <v>231</v>
      </c>
      <c r="C21" s="8" t="s">
        <v>152</v>
      </c>
      <c r="D21" s="8" t="s">
        <v>191</v>
      </c>
      <c r="E21" s="8" t="s">
        <v>206</v>
      </c>
      <c r="F21" s="32" t="s">
        <v>232</v>
      </c>
      <c r="G21" s="33"/>
    </row>
    <row r="22">
      <c r="A22" s="8">
        <v>21.0</v>
      </c>
      <c r="B22" s="8" t="s">
        <v>233</v>
      </c>
      <c r="C22" s="8" t="s">
        <v>152</v>
      </c>
      <c r="D22" s="8" t="s">
        <v>234</v>
      </c>
      <c r="E22" s="8" t="s">
        <v>154</v>
      </c>
      <c r="F22" s="32" t="s">
        <v>235</v>
      </c>
      <c r="G22" s="33"/>
    </row>
    <row r="23">
      <c r="A23" s="8">
        <v>22.0</v>
      </c>
      <c r="B23" s="8" t="s">
        <v>236</v>
      </c>
      <c r="C23" s="8" t="s">
        <v>157</v>
      </c>
      <c r="D23" s="8" t="s">
        <v>158</v>
      </c>
      <c r="E23" s="8" t="s">
        <v>182</v>
      </c>
      <c r="F23" s="32" t="s">
        <v>237</v>
      </c>
      <c r="G23" s="33"/>
    </row>
    <row r="24">
      <c r="A24" s="8">
        <v>23.0</v>
      </c>
      <c r="B24" s="8" t="s">
        <v>238</v>
      </c>
      <c r="C24" s="8" t="s">
        <v>152</v>
      </c>
      <c r="D24" s="8" t="s">
        <v>153</v>
      </c>
      <c r="E24" s="8" t="s">
        <v>182</v>
      </c>
      <c r="F24" s="32" t="s">
        <v>239</v>
      </c>
      <c r="G24" s="33"/>
    </row>
    <row r="25">
      <c r="A25" s="8">
        <v>24.0</v>
      </c>
      <c r="B25" s="8" t="s">
        <v>240</v>
      </c>
      <c r="C25" s="8" t="s">
        <v>157</v>
      </c>
      <c r="D25" s="8" t="s">
        <v>201</v>
      </c>
      <c r="E25" s="8" t="s">
        <v>182</v>
      </c>
      <c r="F25" s="32" t="s">
        <v>241</v>
      </c>
      <c r="G25" s="33"/>
    </row>
    <row r="26">
      <c r="A26" s="8">
        <v>25.0</v>
      </c>
      <c r="B26" s="8" t="s">
        <v>242</v>
      </c>
      <c r="C26" s="8" t="s">
        <v>152</v>
      </c>
      <c r="D26" s="8" t="s">
        <v>191</v>
      </c>
      <c r="E26" s="8" t="s">
        <v>154</v>
      </c>
      <c r="F26" s="32" t="s">
        <v>243</v>
      </c>
      <c r="G26" s="33"/>
    </row>
    <row r="27">
      <c r="A27" s="8">
        <v>26.0</v>
      </c>
      <c r="B27" s="8" t="s">
        <v>244</v>
      </c>
      <c r="C27" s="8" t="s">
        <v>157</v>
      </c>
      <c r="D27" s="8" t="s">
        <v>201</v>
      </c>
      <c r="E27" s="8" t="s">
        <v>154</v>
      </c>
      <c r="F27" s="32" t="s">
        <v>245</v>
      </c>
      <c r="G27" s="33"/>
    </row>
    <row r="28">
      <c r="A28" s="8">
        <v>27.0</v>
      </c>
      <c r="B28" s="8" t="s">
        <v>246</v>
      </c>
      <c r="C28" s="8" t="s">
        <v>157</v>
      </c>
      <c r="D28" s="8" t="s">
        <v>180</v>
      </c>
      <c r="E28" s="8" t="s">
        <v>192</v>
      </c>
      <c r="F28" s="32" t="s">
        <v>247</v>
      </c>
      <c r="G28" s="33"/>
    </row>
    <row r="29">
      <c r="A29" s="8">
        <v>28.0</v>
      </c>
      <c r="B29" s="8" t="s">
        <v>248</v>
      </c>
      <c r="C29" s="8" t="s">
        <v>152</v>
      </c>
      <c r="D29" s="8" t="s">
        <v>198</v>
      </c>
      <c r="E29" s="8" t="s">
        <v>182</v>
      </c>
      <c r="F29" s="32" t="s">
        <v>249</v>
      </c>
      <c r="G29" s="33"/>
    </row>
    <row r="30">
      <c r="A30" s="8">
        <v>29.0</v>
      </c>
      <c r="B30" s="8" t="s">
        <v>250</v>
      </c>
      <c r="C30" s="8" t="s">
        <v>251</v>
      </c>
      <c r="D30" s="8" t="s">
        <v>201</v>
      </c>
      <c r="E30" s="8" t="s">
        <v>182</v>
      </c>
      <c r="F30" s="32" t="s">
        <v>252</v>
      </c>
      <c r="G30" s="33"/>
    </row>
    <row r="31">
      <c r="A31" s="8">
        <v>30.0</v>
      </c>
      <c r="B31" s="8" t="s">
        <v>253</v>
      </c>
      <c r="C31" s="8" t="s">
        <v>152</v>
      </c>
      <c r="D31" s="8" t="s">
        <v>254</v>
      </c>
      <c r="E31" s="8" t="s">
        <v>154</v>
      </c>
      <c r="F31" s="32" t="s">
        <v>255</v>
      </c>
      <c r="G31" s="33"/>
    </row>
    <row r="32">
      <c r="A32" s="8">
        <v>31.0</v>
      </c>
      <c r="B32" s="8" t="s">
        <v>256</v>
      </c>
      <c r="C32" s="8" t="s">
        <v>157</v>
      </c>
      <c r="D32" s="8" t="s">
        <v>158</v>
      </c>
      <c r="E32" s="8" t="s">
        <v>154</v>
      </c>
      <c r="F32" s="32" t="s">
        <v>257</v>
      </c>
      <c r="G32" s="3" t="s">
        <v>258</v>
      </c>
    </row>
    <row r="33">
      <c r="A33" s="8">
        <v>32.0</v>
      </c>
      <c r="B33" s="8" t="s">
        <v>259</v>
      </c>
      <c r="C33" s="8" t="s">
        <v>152</v>
      </c>
      <c r="D33" s="8" t="s">
        <v>153</v>
      </c>
      <c r="E33" s="8" t="s">
        <v>182</v>
      </c>
      <c r="F33" s="32" t="s">
        <v>260</v>
      </c>
      <c r="G33" s="33"/>
    </row>
    <row r="34">
      <c r="A34" s="8">
        <v>33.0</v>
      </c>
      <c r="B34" s="8" t="s">
        <v>261</v>
      </c>
      <c r="C34" s="8" t="s">
        <v>157</v>
      </c>
      <c r="D34" s="8" t="s">
        <v>262</v>
      </c>
      <c r="E34" s="8" t="s">
        <v>154</v>
      </c>
      <c r="F34" s="32" t="s">
        <v>263</v>
      </c>
      <c r="G34" s="3" t="s">
        <v>264</v>
      </c>
    </row>
    <row r="35">
      <c r="A35" s="8">
        <v>34.0</v>
      </c>
      <c r="B35" s="8" t="s">
        <v>265</v>
      </c>
      <c r="C35" s="8" t="s">
        <v>152</v>
      </c>
      <c r="D35" s="8" t="s">
        <v>153</v>
      </c>
      <c r="E35" s="8" t="s">
        <v>182</v>
      </c>
      <c r="F35" s="32" t="s">
        <v>266</v>
      </c>
      <c r="G35" s="33"/>
    </row>
    <row r="36">
      <c r="A36" s="8">
        <v>35.0</v>
      </c>
      <c r="B36" s="8" t="s">
        <v>267</v>
      </c>
      <c r="C36" s="8" t="s">
        <v>157</v>
      </c>
      <c r="D36" s="8" t="s">
        <v>201</v>
      </c>
      <c r="E36" s="8" t="s">
        <v>154</v>
      </c>
      <c r="F36" s="32" t="s">
        <v>268</v>
      </c>
      <c r="G36" s="33"/>
    </row>
    <row r="37">
      <c r="A37" s="8">
        <v>36.0</v>
      </c>
      <c r="B37" s="8" t="s">
        <v>269</v>
      </c>
      <c r="C37" s="8" t="s">
        <v>152</v>
      </c>
      <c r="D37" s="8" t="s">
        <v>153</v>
      </c>
      <c r="E37" s="8" t="s">
        <v>154</v>
      </c>
      <c r="F37" s="32" t="s">
        <v>270</v>
      </c>
      <c r="G37" s="33"/>
    </row>
    <row r="38">
      <c r="A38" s="8">
        <v>37.0</v>
      </c>
      <c r="B38" s="8" t="s">
        <v>271</v>
      </c>
      <c r="C38" s="8" t="s">
        <v>157</v>
      </c>
      <c r="D38" s="8" t="s">
        <v>158</v>
      </c>
      <c r="E38" s="8" t="s">
        <v>192</v>
      </c>
      <c r="F38" s="32" t="s">
        <v>272</v>
      </c>
      <c r="G38" s="33"/>
    </row>
    <row r="39">
      <c r="A39" s="8">
        <v>38.0</v>
      </c>
      <c r="B39" s="8" t="s">
        <v>273</v>
      </c>
      <c r="C39" s="8" t="s">
        <v>152</v>
      </c>
      <c r="D39" s="8" t="s">
        <v>198</v>
      </c>
      <c r="E39" s="8" t="s">
        <v>182</v>
      </c>
      <c r="F39" s="32" t="s">
        <v>274</v>
      </c>
      <c r="G39" s="33"/>
    </row>
    <row r="40">
      <c r="A40" s="8">
        <v>39.0</v>
      </c>
      <c r="B40" s="8" t="s">
        <v>275</v>
      </c>
      <c r="C40" s="8" t="s">
        <v>251</v>
      </c>
      <c r="D40" s="8" t="s">
        <v>201</v>
      </c>
      <c r="E40" s="8" t="s">
        <v>182</v>
      </c>
      <c r="F40" s="32" t="s">
        <v>276</v>
      </c>
      <c r="G40" s="33"/>
    </row>
    <row r="41">
      <c r="A41" s="8">
        <v>40.0</v>
      </c>
      <c r="B41" s="8" t="s">
        <v>277</v>
      </c>
      <c r="C41" s="8" t="s">
        <v>152</v>
      </c>
      <c r="D41" s="8" t="s">
        <v>212</v>
      </c>
      <c r="E41" s="8" t="s">
        <v>182</v>
      </c>
      <c r="F41" s="32" t="s">
        <v>278</v>
      </c>
      <c r="G41" s="33"/>
    </row>
    <row r="42">
      <c r="F42" s="33"/>
      <c r="G42" s="33"/>
    </row>
    <row r="43">
      <c r="F43" s="33"/>
      <c r="G43" s="33"/>
    </row>
    <row r="44">
      <c r="F44" s="33"/>
      <c r="G44" s="33"/>
    </row>
    <row r="45">
      <c r="F45" s="33"/>
      <c r="G45" s="33"/>
    </row>
    <row r="46">
      <c r="F46" s="33"/>
      <c r="G46" s="33"/>
    </row>
    <row r="47">
      <c r="F47" s="33"/>
      <c r="G47" s="33"/>
    </row>
    <row r="48">
      <c r="F48" s="33"/>
      <c r="G48" s="33"/>
    </row>
    <row r="49">
      <c r="F49" s="33"/>
      <c r="G49" s="33"/>
    </row>
    <row r="50">
      <c r="F50" s="33"/>
      <c r="G50" s="33"/>
    </row>
    <row r="51">
      <c r="F51" s="33"/>
      <c r="G51" s="33"/>
    </row>
    <row r="52">
      <c r="F52" s="33"/>
      <c r="G52" s="33"/>
    </row>
    <row r="53">
      <c r="F53" s="33"/>
      <c r="G53" s="33"/>
    </row>
    <row r="54">
      <c r="F54" s="33"/>
      <c r="G54" s="33"/>
    </row>
    <row r="55">
      <c r="F55" s="33"/>
      <c r="G55" s="33"/>
    </row>
    <row r="56">
      <c r="F56" s="33"/>
      <c r="G56" s="33"/>
    </row>
    <row r="57">
      <c r="F57" s="33"/>
      <c r="G57" s="33"/>
    </row>
    <row r="58">
      <c r="F58" s="33"/>
      <c r="G58" s="33"/>
    </row>
    <row r="59">
      <c r="F59" s="33"/>
      <c r="G59" s="33"/>
    </row>
    <row r="60">
      <c r="F60" s="33"/>
      <c r="G60" s="33"/>
    </row>
    <row r="61">
      <c r="F61" s="33"/>
      <c r="G61" s="33"/>
    </row>
    <row r="62">
      <c r="F62" s="33"/>
      <c r="G62" s="33"/>
    </row>
    <row r="63">
      <c r="F63" s="33"/>
      <c r="G63" s="33"/>
    </row>
    <row r="64">
      <c r="F64" s="33"/>
      <c r="G64" s="33"/>
    </row>
    <row r="65">
      <c r="F65" s="33"/>
      <c r="G65" s="33"/>
    </row>
    <row r="66">
      <c r="F66" s="33"/>
      <c r="G66" s="33"/>
    </row>
    <row r="67">
      <c r="F67" s="33"/>
      <c r="G67" s="33"/>
    </row>
    <row r="68">
      <c r="F68" s="33"/>
      <c r="G68" s="33"/>
    </row>
    <row r="69">
      <c r="F69" s="33"/>
      <c r="G69" s="33"/>
    </row>
    <row r="70">
      <c r="F70" s="33"/>
      <c r="G70" s="33"/>
    </row>
    <row r="71">
      <c r="F71" s="33"/>
      <c r="G71" s="33"/>
    </row>
    <row r="72">
      <c r="F72" s="33"/>
      <c r="G72" s="33"/>
    </row>
    <row r="73">
      <c r="F73" s="33"/>
      <c r="G73" s="33"/>
    </row>
    <row r="74">
      <c r="F74" s="33"/>
      <c r="G74" s="33"/>
    </row>
    <row r="75">
      <c r="F75" s="33"/>
      <c r="G75" s="33"/>
    </row>
    <row r="76">
      <c r="F76" s="33"/>
      <c r="G76" s="33"/>
    </row>
    <row r="77">
      <c r="F77" s="33"/>
      <c r="G77" s="33"/>
    </row>
    <row r="78">
      <c r="F78" s="33"/>
      <c r="G78" s="33"/>
    </row>
    <row r="79">
      <c r="F79" s="33"/>
      <c r="G79" s="33"/>
    </row>
    <row r="80">
      <c r="F80" s="33"/>
      <c r="G80" s="33"/>
    </row>
    <row r="81">
      <c r="F81" s="33"/>
      <c r="G81" s="33"/>
    </row>
    <row r="82">
      <c r="F82" s="33"/>
      <c r="G82" s="33"/>
    </row>
    <row r="83">
      <c r="F83" s="33"/>
      <c r="G83" s="33"/>
    </row>
    <row r="84">
      <c r="F84" s="33"/>
      <c r="G84" s="33"/>
    </row>
    <row r="85">
      <c r="F85" s="33"/>
      <c r="G85" s="33"/>
    </row>
    <row r="86">
      <c r="F86" s="33"/>
      <c r="G86" s="33"/>
    </row>
    <row r="87">
      <c r="F87" s="33"/>
      <c r="G87" s="33"/>
    </row>
    <row r="88">
      <c r="F88" s="33"/>
      <c r="G88" s="33"/>
    </row>
    <row r="89">
      <c r="F89" s="33"/>
      <c r="G89" s="33"/>
    </row>
    <row r="90">
      <c r="F90" s="33"/>
      <c r="G90" s="33"/>
    </row>
    <row r="91">
      <c r="F91" s="33"/>
      <c r="G91" s="33"/>
    </row>
    <row r="92">
      <c r="F92" s="33"/>
      <c r="G92" s="33"/>
    </row>
    <row r="93">
      <c r="F93" s="33"/>
      <c r="G93" s="33"/>
    </row>
    <row r="94">
      <c r="F94" s="33"/>
      <c r="G94" s="33"/>
    </row>
    <row r="95">
      <c r="F95" s="33"/>
      <c r="G95" s="33"/>
    </row>
    <row r="96">
      <c r="F96" s="33"/>
      <c r="G96" s="33"/>
    </row>
    <row r="97">
      <c r="F97" s="33"/>
      <c r="G97" s="33"/>
    </row>
    <row r="98">
      <c r="F98" s="33"/>
      <c r="G98" s="33"/>
    </row>
    <row r="99">
      <c r="F99" s="33"/>
      <c r="G99" s="33"/>
    </row>
    <row r="100">
      <c r="F100" s="33"/>
      <c r="G100" s="33"/>
    </row>
    <row r="101">
      <c r="F101" s="33"/>
      <c r="G101" s="33"/>
    </row>
    <row r="102">
      <c r="F102" s="33"/>
      <c r="G102" s="33"/>
    </row>
    <row r="103">
      <c r="F103" s="33"/>
      <c r="G103" s="33"/>
    </row>
    <row r="104">
      <c r="F104" s="33"/>
      <c r="G104" s="33"/>
    </row>
    <row r="105">
      <c r="F105" s="33"/>
      <c r="G105" s="33"/>
    </row>
    <row r="106">
      <c r="F106" s="33"/>
      <c r="G106" s="33"/>
    </row>
    <row r="107">
      <c r="F107" s="33"/>
      <c r="G107" s="33"/>
    </row>
    <row r="108">
      <c r="F108" s="33"/>
      <c r="G108" s="33"/>
    </row>
    <row r="109">
      <c r="F109" s="33"/>
      <c r="G109" s="33"/>
    </row>
    <row r="110">
      <c r="F110" s="33"/>
      <c r="G110" s="33"/>
    </row>
    <row r="111">
      <c r="F111" s="33"/>
      <c r="G111" s="33"/>
    </row>
    <row r="112">
      <c r="F112" s="33"/>
      <c r="G112" s="33"/>
    </row>
    <row r="113">
      <c r="F113" s="33"/>
      <c r="G113" s="33"/>
    </row>
    <row r="114">
      <c r="F114" s="33"/>
      <c r="G114" s="33"/>
    </row>
    <row r="115">
      <c r="F115" s="33"/>
      <c r="G115" s="33"/>
    </row>
    <row r="116">
      <c r="F116" s="33"/>
      <c r="G116" s="33"/>
    </row>
    <row r="117">
      <c r="F117" s="33"/>
      <c r="G117" s="33"/>
    </row>
    <row r="118">
      <c r="F118" s="33"/>
      <c r="G118" s="33"/>
    </row>
    <row r="119">
      <c r="F119" s="33"/>
      <c r="G119" s="33"/>
    </row>
    <row r="120">
      <c r="F120" s="33"/>
      <c r="G120" s="33"/>
    </row>
    <row r="121">
      <c r="F121" s="33"/>
      <c r="G121" s="33"/>
    </row>
    <row r="122">
      <c r="F122" s="33"/>
      <c r="G122" s="33"/>
    </row>
    <row r="123">
      <c r="F123" s="33"/>
      <c r="G123" s="33"/>
    </row>
    <row r="124">
      <c r="F124" s="33"/>
      <c r="G124" s="33"/>
    </row>
    <row r="125">
      <c r="F125" s="33"/>
      <c r="G125" s="33"/>
    </row>
    <row r="126">
      <c r="F126" s="33"/>
      <c r="G126" s="33"/>
    </row>
    <row r="127">
      <c r="F127" s="33"/>
      <c r="G127" s="33"/>
    </row>
    <row r="128">
      <c r="F128" s="33"/>
      <c r="G128" s="33"/>
    </row>
    <row r="129">
      <c r="F129" s="33"/>
      <c r="G129" s="33"/>
    </row>
    <row r="130">
      <c r="F130" s="33"/>
      <c r="G130" s="33"/>
    </row>
    <row r="131">
      <c r="F131" s="33"/>
      <c r="G131" s="33"/>
    </row>
    <row r="132">
      <c r="F132" s="33"/>
      <c r="G132" s="33"/>
    </row>
    <row r="133">
      <c r="F133" s="33"/>
      <c r="G133" s="33"/>
    </row>
    <row r="134">
      <c r="F134" s="33"/>
      <c r="G134" s="33"/>
    </row>
    <row r="135">
      <c r="F135" s="33"/>
      <c r="G135" s="33"/>
    </row>
    <row r="136">
      <c r="F136" s="33"/>
      <c r="G136" s="33"/>
    </row>
    <row r="137">
      <c r="F137" s="33"/>
      <c r="G137" s="33"/>
    </row>
    <row r="138">
      <c r="F138" s="33"/>
      <c r="G138" s="33"/>
    </row>
    <row r="139">
      <c r="F139" s="33"/>
      <c r="G139" s="33"/>
    </row>
    <row r="140">
      <c r="F140" s="33"/>
      <c r="G140" s="33"/>
    </row>
    <row r="141">
      <c r="F141" s="33"/>
      <c r="G141" s="33"/>
    </row>
    <row r="142">
      <c r="F142" s="33"/>
      <c r="G142" s="33"/>
    </row>
    <row r="143">
      <c r="F143" s="33"/>
      <c r="G143" s="33"/>
    </row>
    <row r="144">
      <c r="F144" s="33"/>
      <c r="G144" s="33"/>
    </row>
    <row r="145">
      <c r="F145" s="33"/>
      <c r="G145" s="33"/>
    </row>
    <row r="146">
      <c r="F146" s="33"/>
      <c r="G146" s="33"/>
    </row>
    <row r="147">
      <c r="F147" s="33"/>
      <c r="G147" s="33"/>
    </row>
    <row r="148">
      <c r="F148" s="33"/>
      <c r="G148" s="33"/>
    </row>
    <row r="149">
      <c r="F149" s="33"/>
      <c r="G149" s="33"/>
    </row>
    <row r="150">
      <c r="F150" s="33"/>
      <c r="G150" s="33"/>
    </row>
    <row r="151">
      <c r="F151" s="33"/>
      <c r="G151" s="33"/>
    </row>
    <row r="152">
      <c r="F152" s="33"/>
      <c r="G152" s="33"/>
    </row>
    <row r="153">
      <c r="F153" s="33"/>
      <c r="G153" s="33"/>
    </row>
    <row r="154">
      <c r="F154" s="33"/>
      <c r="G154" s="33"/>
    </row>
    <row r="155">
      <c r="F155" s="33"/>
      <c r="G155" s="33"/>
    </row>
    <row r="156">
      <c r="F156" s="33"/>
      <c r="G156" s="33"/>
    </row>
    <row r="157">
      <c r="F157" s="33"/>
      <c r="G157" s="33"/>
    </row>
    <row r="158">
      <c r="F158" s="33"/>
      <c r="G158" s="33"/>
    </row>
    <row r="159">
      <c r="F159" s="33"/>
      <c r="G159" s="33"/>
    </row>
    <row r="160">
      <c r="F160" s="33"/>
      <c r="G160" s="33"/>
    </row>
    <row r="161">
      <c r="F161" s="33"/>
      <c r="G161" s="33"/>
    </row>
    <row r="162">
      <c r="F162" s="33"/>
      <c r="G162" s="33"/>
    </row>
    <row r="163">
      <c r="F163" s="33"/>
      <c r="G163" s="33"/>
    </row>
    <row r="164">
      <c r="F164" s="33"/>
      <c r="G164" s="33"/>
    </row>
    <row r="165">
      <c r="F165" s="33"/>
      <c r="G165" s="33"/>
    </row>
    <row r="166">
      <c r="F166" s="33"/>
      <c r="G166" s="33"/>
    </row>
    <row r="167">
      <c r="F167" s="33"/>
      <c r="G167" s="33"/>
    </row>
    <row r="168">
      <c r="F168" s="33"/>
      <c r="G168" s="33"/>
    </row>
    <row r="169">
      <c r="F169" s="33"/>
      <c r="G169" s="33"/>
    </row>
    <row r="170">
      <c r="F170" s="33"/>
      <c r="G170" s="33"/>
    </row>
    <row r="171">
      <c r="F171" s="33"/>
      <c r="G171" s="33"/>
    </row>
    <row r="172">
      <c r="F172" s="33"/>
      <c r="G172" s="33"/>
    </row>
    <row r="173">
      <c r="F173" s="33"/>
      <c r="G173" s="33"/>
    </row>
    <row r="174">
      <c r="F174" s="33"/>
      <c r="G174" s="33"/>
    </row>
    <row r="175">
      <c r="F175" s="33"/>
      <c r="G175" s="33"/>
    </row>
    <row r="176">
      <c r="F176" s="33"/>
      <c r="G176" s="33"/>
    </row>
    <row r="177">
      <c r="F177" s="33"/>
      <c r="G177" s="33"/>
    </row>
    <row r="178">
      <c r="F178" s="33"/>
      <c r="G178" s="33"/>
    </row>
    <row r="179">
      <c r="F179" s="33"/>
      <c r="G179" s="33"/>
    </row>
    <row r="180">
      <c r="F180" s="33"/>
      <c r="G180" s="33"/>
    </row>
    <row r="181">
      <c r="F181" s="33"/>
      <c r="G181" s="33"/>
    </row>
    <row r="182">
      <c r="F182" s="33"/>
      <c r="G182" s="33"/>
    </row>
    <row r="183">
      <c r="F183" s="33"/>
      <c r="G183" s="33"/>
    </row>
    <row r="184">
      <c r="F184" s="33"/>
      <c r="G184" s="33"/>
    </row>
    <row r="185">
      <c r="F185" s="33"/>
      <c r="G185" s="33"/>
    </row>
    <row r="186">
      <c r="F186" s="33"/>
      <c r="G186" s="33"/>
    </row>
    <row r="187">
      <c r="F187" s="33"/>
      <c r="G187" s="33"/>
    </row>
    <row r="188">
      <c r="F188" s="33"/>
      <c r="G188" s="33"/>
    </row>
    <row r="189">
      <c r="F189" s="33"/>
      <c r="G189" s="33"/>
    </row>
    <row r="190">
      <c r="F190" s="33"/>
      <c r="G190" s="33"/>
    </row>
    <row r="191">
      <c r="F191" s="33"/>
      <c r="G191" s="33"/>
    </row>
    <row r="192">
      <c r="F192" s="33"/>
      <c r="G192" s="33"/>
    </row>
    <row r="193">
      <c r="F193" s="33"/>
      <c r="G193" s="33"/>
    </row>
    <row r="194">
      <c r="F194" s="33"/>
      <c r="G194" s="33"/>
    </row>
    <row r="195">
      <c r="F195" s="33"/>
      <c r="G195" s="33"/>
    </row>
    <row r="196">
      <c r="F196" s="33"/>
      <c r="G196" s="33"/>
    </row>
    <row r="197">
      <c r="F197" s="33"/>
      <c r="G197" s="33"/>
    </row>
    <row r="198">
      <c r="F198" s="33"/>
      <c r="G198" s="33"/>
    </row>
    <row r="199">
      <c r="F199" s="33"/>
      <c r="G199" s="33"/>
    </row>
    <row r="200">
      <c r="F200" s="33"/>
      <c r="G200" s="33"/>
    </row>
    <row r="201">
      <c r="F201" s="33"/>
      <c r="G201" s="33"/>
    </row>
    <row r="202">
      <c r="F202" s="33"/>
      <c r="G202" s="33"/>
    </row>
    <row r="203">
      <c r="F203" s="33"/>
      <c r="G203" s="33"/>
    </row>
    <row r="204">
      <c r="F204" s="33"/>
      <c r="G204" s="33"/>
    </row>
    <row r="205">
      <c r="F205" s="33"/>
      <c r="G205" s="33"/>
    </row>
    <row r="206">
      <c r="F206" s="33"/>
      <c r="G206" s="33"/>
    </row>
    <row r="207">
      <c r="F207" s="33"/>
      <c r="G207" s="33"/>
    </row>
    <row r="208">
      <c r="F208" s="33"/>
      <c r="G208" s="33"/>
    </row>
    <row r="209">
      <c r="F209" s="33"/>
      <c r="G209" s="33"/>
    </row>
    <row r="210">
      <c r="F210" s="33"/>
      <c r="G210" s="33"/>
    </row>
    <row r="211">
      <c r="F211" s="33"/>
      <c r="G211" s="33"/>
    </row>
    <row r="212">
      <c r="F212" s="33"/>
      <c r="G212" s="33"/>
    </row>
    <row r="213">
      <c r="F213" s="33"/>
      <c r="G213" s="33"/>
    </row>
    <row r="214">
      <c r="F214" s="33"/>
      <c r="G214" s="33"/>
    </row>
    <row r="215">
      <c r="F215" s="33"/>
      <c r="G215" s="33"/>
    </row>
    <row r="216">
      <c r="F216" s="33"/>
      <c r="G216" s="33"/>
    </row>
    <row r="217">
      <c r="F217" s="33"/>
      <c r="G217" s="33"/>
    </row>
    <row r="218">
      <c r="F218" s="33"/>
      <c r="G218" s="33"/>
    </row>
    <row r="219">
      <c r="F219" s="33"/>
      <c r="G219" s="33"/>
    </row>
    <row r="220">
      <c r="F220" s="33"/>
      <c r="G220" s="33"/>
    </row>
    <row r="221">
      <c r="F221" s="33"/>
      <c r="G221" s="33"/>
    </row>
    <row r="222">
      <c r="F222" s="33"/>
      <c r="G222" s="33"/>
    </row>
    <row r="223">
      <c r="F223" s="33"/>
      <c r="G223" s="33"/>
    </row>
    <row r="224">
      <c r="F224" s="33"/>
      <c r="G224" s="33"/>
    </row>
    <row r="225">
      <c r="F225" s="33"/>
      <c r="G225" s="33"/>
    </row>
    <row r="226">
      <c r="F226" s="33"/>
      <c r="G226" s="33"/>
    </row>
    <row r="227">
      <c r="F227" s="33"/>
      <c r="G227" s="33"/>
    </row>
    <row r="228">
      <c r="F228" s="33"/>
      <c r="G228" s="33"/>
    </row>
    <row r="229">
      <c r="F229" s="33"/>
      <c r="G229" s="33"/>
    </row>
    <row r="230">
      <c r="F230" s="33"/>
      <c r="G230" s="33"/>
    </row>
    <row r="231">
      <c r="F231" s="33"/>
      <c r="G231" s="33"/>
    </row>
    <row r="232">
      <c r="F232" s="33"/>
      <c r="G232" s="33"/>
    </row>
    <row r="233">
      <c r="F233" s="33"/>
      <c r="G233" s="33"/>
    </row>
    <row r="234">
      <c r="F234" s="33"/>
      <c r="G234" s="33"/>
    </row>
    <row r="235">
      <c r="F235" s="33"/>
      <c r="G235" s="33"/>
    </row>
    <row r="236">
      <c r="F236" s="33"/>
      <c r="G236" s="33"/>
    </row>
    <row r="237">
      <c r="F237" s="33"/>
      <c r="G237" s="33"/>
    </row>
    <row r="238">
      <c r="F238" s="33"/>
      <c r="G238" s="33"/>
    </row>
    <row r="239">
      <c r="F239" s="33"/>
      <c r="G239" s="33"/>
    </row>
    <row r="240">
      <c r="F240" s="33"/>
      <c r="G240" s="33"/>
    </row>
    <row r="241">
      <c r="F241" s="33"/>
      <c r="G241" s="33"/>
    </row>
    <row r="242">
      <c r="F242" s="33"/>
      <c r="G242" s="33"/>
    </row>
    <row r="243">
      <c r="F243" s="33"/>
      <c r="G243" s="33"/>
    </row>
    <row r="244">
      <c r="F244" s="33"/>
      <c r="G244" s="33"/>
    </row>
    <row r="245">
      <c r="F245" s="33"/>
      <c r="G245" s="33"/>
    </row>
    <row r="246">
      <c r="F246" s="33"/>
      <c r="G246" s="33"/>
    </row>
    <row r="247">
      <c r="F247" s="33"/>
      <c r="G247" s="33"/>
    </row>
    <row r="248">
      <c r="F248" s="33"/>
      <c r="G248" s="33"/>
    </row>
    <row r="249">
      <c r="F249" s="33"/>
      <c r="G249" s="33"/>
    </row>
    <row r="250">
      <c r="F250" s="33"/>
      <c r="G250" s="33"/>
    </row>
    <row r="251">
      <c r="F251" s="33"/>
      <c r="G251" s="33"/>
    </row>
    <row r="252">
      <c r="F252" s="33"/>
      <c r="G252" s="33"/>
    </row>
    <row r="253">
      <c r="F253" s="33"/>
      <c r="G253" s="33"/>
    </row>
    <row r="254">
      <c r="F254" s="33"/>
      <c r="G254" s="33"/>
    </row>
    <row r="255">
      <c r="F255" s="33"/>
      <c r="G255" s="33"/>
    </row>
    <row r="256">
      <c r="F256" s="33"/>
      <c r="G256" s="33"/>
    </row>
    <row r="257">
      <c r="F257" s="33"/>
      <c r="G257" s="33"/>
    </row>
    <row r="258">
      <c r="F258" s="33"/>
      <c r="G258" s="33"/>
    </row>
    <row r="259">
      <c r="F259" s="33"/>
      <c r="G259" s="33"/>
    </row>
    <row r="260">
      <c r="F260" s="33"/>
      <c r="G260" s="33"/>
    </row>
    <row r="261">
      <c r="F261" s="33"/>
      <c r="G261" s="33"/>
    </row>
    <row r="262">
      <c r="F262" s="33"/>
      <c r="G262" s="33"/>
    </row>
    <row r="263">
      <c r="F263" s="33"/>
      <c r="G263" s="33"/>
    </row>
    <row r="264">
      <c r="F264" s="33"/>
      <c r="G264" s="33"/>
    </row>
    <row r="265">
      <c r="F265" s="33"/>
      <c r="G265" s="33"/>
    </row>
    <row r="266">
      <c r="F266" s="33"/>
      <c r="G266" s="33"/>
    </row>
    <row r="267">
      <c r="F267" s="33"/>
      <c r="G267" s="33"/>
    </row>
    <row r="268">
      <c r="F268" s="33"/>
      <c r="G268" s="33"/>
    </row>
    <row r="269">
      <c r="F269" s="33"/>
      <c r="G269" s="33"/>
    </row>
    <row r="270">
      <c r="F270" s="33"/>
      <c r="G270" s="33"/>
    </row>
    <row r="271">
      <c r="F271" s="33"/>
      <c r="G271" s="33"/>
    </row>
    <row r="272">
      <c r="F272" s="33"/>
      <c r="G272" s="33"/>
    </row>
    <row r="273">
      <c r="F273" s="33"/>
      <c r="G273" s="33"/>
    </row>
    <row r="274">
      <c r="F274" s="33"/>
      <c r="G274" s="33"/>
    </row>
    <row r="275">
      <c r="F275" s="33"/>
      <c r="G275" s="33"/>
    </row>
    <row r="276">
      <c r="F276" s="33"/>
      <c r="G276" s="33"/>
    </row>
    <row r="277">
      <c r="F277" s="33"/>
      <c r="G277" s="33"/>
    </row>
    <row r="278">
      <c r="F278" s="33"/>
      <c r="G278" s="33"/>
    </row>
    <row r="279">
      <c r="F279" s="33"/>
      <c r="G279" s="33"/>
    </row>
    <row r="280">
      <c r="F280" s="33"/>
      <c r="G280" s="33"/>
    </row>
    <row r="281">
      <c r="F281" s="33"/>
      <c r="G281" s="33"/>
    </row>
    <row r="282">
      <c r="F282" s="33"/>
      <c r="G282" s="33"/>
    </row>
    <row r="283">
      <c r="F283" s="33"/>
      <c r="G283" s="33"/>
    </row>
    <row r="284">
      <c r="F284" s="33"/>
      <c r="G284" s="33"/>
    </row>
    <row r="285">
      <c r="F285" s="33"/>
      <c r="G285" s="33"/>
    </row>
    <row r="286">
      <c r="F286" s="33"/>
      <c r="G286" s="33"/>
    </row>
    <row r="287">
      <c r="F287" s="33"/>
      <c r="G287" s="33"/>
    </row>
    <row r="288">
      <c r="F288" s="33"/>
      <c r="G288" s="33"/>
    </row>
    <row r="289">
      <c r="F289" s="33"/>
      <c r="G289" s="33"/>
    </row>
    <row r="290">
      <c r="F290" s="33"/>
      <c r="G290" s="33"/>
    </row>
    <row r="291">
      <c r="F291" s="33"/>
      <c r="G291" s="33"/>
    </row>
    <row r="292">
      <c r="F292" s="33"/>
      <c r="G292" s="33"/>
    </row>
    <row r="293">
      <c r="F293" s="33"/>
      <c r="G293" s="33"/>
    </row>
    <row r="294">
      <c r="F294" s="33"/>
      <c r="G294" s="33"/>
    </row>
    <row r="295">
      <c r="F295" s="33"/>
      <c r="G295" s="33"/>
    </row>
    <row r="296">
      <c r="F296" s="33"/>
      <c r="G296" s="33"/>
    </row>
    <row r="297">
      <c r="F297" s="33"/>
      <c r="G297" s="33"/>
    </row>
    <row r="298">
      <c r="F298" s="33"/>
      <c r="G298" s="33"/>
    </row>
    <row r="299">
      <c r="F299" s="33"/>
      <c r="G299" s="33"/>
    </row>
    <row r="300">
      <c r="F300" s="33"/>
      <c r="G300" s="33"/>
    </row>
    <row r="301">
      <c r="F301" s="33"/>
      <c r="G301" s="33"/>
    </row>
    <row r="302">
      <c r="F302" s="33"/>
      <c r="G302" s="33"/>
    </row>
    <row r="303">
      <c r="F303" s="33"/>
      <c r="G303" s="33"/>
    </row>
    <row r="304">
      <c r="F304" s="33"/>
      <c r="G304" s="33"/>
    </row>
    <row r="305">
      <c r="F305" s="33"/>
      <c r="G305" s="33"/>
    </row>
    <row r="306">
      <c r="F306" s="33"/>
      <c r="G306" s="33"/>
    </row>
    <row r="307">
      <c r="F307" s="33"/>
      <c r="G307" s="33"/>
    </row>
    <row r="308">
      <c r="F308" s="33"/>
      <c r="G308" s="33"/>
    </row>
    <row r="309">
      <c r="F309" s="33"/>
      <c r="G309" s="33"/>
    </row>
    <row r="310">
      <c r="F310" s="33"/>
      <c r="G310" s="33"/>
    </row>
    <row r="311">
      <c r="F311" s="33"/>
      <c r="G311" s="33"/>
    </row>
    <row r="312">
      <c r="F312" s="33"/>
      <c r="G312" s="33"/>
    </row>
    <row r="313">
      <c r="F313" s="33"/>
      <c r="G313" s="33"/>
    </row>
    <row r="314">
      <c r="F314" s="33"/>
      <c r="G314" s="33"/>
    </row>
    <row r="315">
      <c r="F315" s="33"/>
      <c r="G315" s="33"/>
    </row>
    <row r="316">
      <c r="F316" s="33"/>
      <c r="G316" s="33"/>
    </row>
    <row r="317">
      <c r="F317" s="33"/>
      <c r="G317" s="33"/>
    </row>
    <row r="318">
      <c r="F318" s="33"/>
      <c r="G318" s="33"/>
    </row>
    <row r="319">
      <c r="F319" s="33"/>
      <c r="G319" s="33"/>
    </row>
    <row r="320">
      <c r="F320" s="33"/>
      <c r="G320" s="33"/>
    </row>
    <row r="321">
      <c r="F321" s="33"/>
      <c r="G321" s="33"/>
    </row>
    <row r="322">
      <c r="F322" s="33"/>
      <c r="G322" s="33"/>
    </row>
    <row r="323">
      <c r="F323" s="33"/>
      <c r="G323" s="33"/>
    </row>
    <row r="324">
      <c r="F324" s="33"/>
      <c r="G324" s="33"/>
    </row>
    <row r="325">
      <c r="F325" s="33"/>
      <c r="G325" s="33"/>
    </row>
    <row r="326">
      <c r="F326" s="33"/>
      <c r="G326" s="33"/>
    </row>
    <row r="327">
      <c r="F327" s="33"/>
      <c r="G327" s="33"/>
    </row>
    <row r="328">
      <c r="F328" s="33"/>
      <c r="G328" s="33"/>
    </row>
    <row r="329">
      <c r="F329" s="33"/>
      <c r="G329" s="33"/>
    </row>
    <row r="330">
      <c r="F330" s="33"/>
      <c r="G330" s="33"/>
    </row>
    <row r="331">
      <c r="F331" s="33"/>
      <c r="G331" s="33"/>
    </row>
    <row r="332">
      <c r="F332" s="33"/>
      <c r="G332" s="33"/>
    </row>
    <row r="333">
      <c r="F333" s="33"/>
      <c r="G333" s="33"/>
    </row>
    <row r="334">
      <c r="F334" s="33"/>
      <c r="G334" s="33"/>
    </row>
    <row r="335">
      <c r="F335" s="33"/>
      <c r="G335" s="33"/>
    </row>
    <row r="336">
      <c r="F336" s="33"/>
      <c r="G336" s="33"/>
    </row>
    <row r="337">
      <c r="F337" s="33"/>
      <c r="G337" s="33"/>
    </row>
    <row r="338">
      <c r="F338" s="33"/>
      <c r="G338" s="33"/>
    </row>
    <row r="339">
      <c r="F339" s="33"/>
      <c r="G339" s="33"/>
    </row>
    <row r="340">
      <c r="F340" s="33"/>
      <c r="G340" s="33"/>
    </row>
    <row r="341">
      <c r="F341" s="33"/>
      <c r="G341" s="33"/>
    </row>
    <row r="342">
      <c r="F342" s="33"/>
      <c r="G342" s="33"/>
    </row>
    <row r="343">
      <c r="F343" s="33"/>
      <c r="G343" s="33"/>
    </row>
    <row r="344">
      <c r="F344" s="33"/>
      <c r="G344" s="33"/>
    </row>
    <row r="345">
      <c r="F345" s="33"/>
      <c r="G345" s="33"/>
    </row>
    <row r="346">
      <c r="F346" s="33"/>
      <c r="G346" s="33"/>
    </row>
    <row r="347">
      <c r="F347" s="33"/>
      <c r="G347" s="33"/>
    </row>
    <row r="348">
      <c r="F348" s="33"/>
      <c r="G348" s="33"/>
    </row>
    <row r="349">
      <c r="F349" s="33"/>
      <c r="G349" s="33"/>
    </row>
    <row r="350">
      <c r="F350" s="33"/>
      <c r="G350" s="33"/>
    </row>
    <row r="351">
      <c r="F351" s="33"/>
      <c r="G351" s="33"/>
    </row>
    <row r="352">
      <c r="F352" s="33"/>
      <c r="G352" s="33"/>
    </row>
    <row r="353">
      <c r="F353" s="33"/>
      <c r="G353" s="33"/>
    </row>
    <row r="354">
      <c r="F354" s="33"/>
      <c r="G354" s="33"/>
    </row>
    <row r="355">
      <c r="F355" s="33"/>
      <c r="G355" s="33"/>
    </row>
    <row r="356">
      <c r="F356" s="33"/>
      <c r="G356" s="33"/>
    </row>
    <row r="357">
      <c r="F357" s="33"/>
      <c r="G357" s="33"/>
    </row>
    <row r="358">
      <c r="F358" s="33"/>
      <c r="G358" s="33"/>
    </row>
    <row r="359">
      <c r="F359" s="33"/>
      <c r="G359" s="33"/>
    </row>
    <row r="360">
      <c r="F360" s="33"/>
      <c r="G360" s="33"/>
    </row>
    <row r="361">
      <c r="F361" s="33"/>
      <c r="G361" s="33"/>
    </row>
    <row r="362">
      <c r="F362" s="33"/>
      <c r="G362" s="33"/>
    </row>
    <row r="363">
      <c r="F363" s="33"/>
      <c r="G363" s="33"/>
    </row>
    <row r="364">
      <c r="F364" s="33"/>
      <c r="G364" s="33"/>
    </row>
    <row r="365">
      <c r="F365" s="33"/>
      <c r="G365" s="33"/>
    </row>
    <row r="366">
      <c r="F366" s="33"/>
      <c r="G366" s="33"/>
    </row>
    <row r="367">
      <c r="F367" s="33"/>
      <c r="G367" s="33"/>
    </row>
    <row r="368">
      <c r="F368" s="33"/>
      <c r="G368" s="33"/>
    </row>
    <row r="369">
      <c r="F369" s="33"/>
      <c r="G369" s="33"/>
    </row>
    <row r="370">
      <c r="F370" s="33"/>
      <c r="G370" s="33"/>
    </row>
    <row r="371">
      <c r="F371" s="33"/>
      <c r="G371" s="33"/>
    </row>
    <row r="372">
      <c r="F372" s="33"/>
      <c r="G372" s="33"/>
    </row>
    <row r="373">
      <c r="F373" s="33"/>
      <c r="G373" s="33"/>
    </row>
    <row r="374">
      <c r="F374" s="33"/>
      <c r="G374" s="33"/>
    </row>
    <row r="375">
      <c r="F375" s="33"/>
      <c r="G375" s="33"/>
    </row>
    <row r="376">
      <c r="F376" s="33"/>
      <c r="G376" s="33"/>
    </row>
    <row r="377">
      <c r="F377" s="33"/>
      <c r="G377" s="33"/>
    </row>
    <row r="378">
      <c r="F378" s="33"/>
      <c r="G378" s="33"/>
    </row>
    <row r="379">
      <c r="F379" s="33"/>
      <c r="G379" s="33"/>
    </row>
    <row r="380">
      <c r="F380" s="33"/>
      <c r="G380" s="33"/>
    </row>
    <row r="381">
      <c r="F381" s="33"/>
      <c r="G381" s="33"/>
    </row>
    <row r="382">
      <c r="F382" s="33"/>
      <c r="G382" s="33"/>
    </row>
    <row r="383">
      <c r="F383" s="33"/>
      <c r="G383" s="33"/>
    </row>
    <row r="384">
      <c r="F384" s="33"/>
      <c r="G384" s="33"/>
    </row>
    <row r="385">
      <c r="F385" s="33"/>
      <c r="G385" s="33"/>
    </row>
    <row r="386">
      <c r="F386" s="33"/>
      <c r="G386" s="33"/>
    </row>
    <row r="387">
      <c r="F387" s="33"/>
      <c r="G387" s="33"/>
    </row>
    <row r="388">
      <c r="F388" s="33"/>
      <c r="G388" s="33"/>
    </row>
    <row r="389">
      <c r="F389" s="33"/>
      <c r="G389" s="33"/>
    </row>
    <row r="390">
      <c r="F390" s="33"/>
      <c r="G390" s="33"/>
    </row>
    <row r="391">
      <c r="F391" s="33"/>
      <c r="G391" s="33"/>
    </row>
    <row r="392">
      <c r="F392" s="33"/>
      <c r="G392" s="33"/>
    </row>
    <row r="393">
      <c r="F393" s="33"/>
      <c r="G393" s="33"/>
    </row>
    <row r="394">
      <c r="F394" s="33"/>
      <c r="G394" s="33"/>
    </row>
    <row r="395">
      <c r="F395" s="33"/>
      <c r="G395" s="33"/>
    </row>
    <row r="396">
      <c r="F396" s="33"/>
      <c r="G396" s="33"/>
    </row>
    <row r="397">
      <c r="F397" s="33"/>
      <c r="G397" s="33"/>
    </row>
    <row r="398">
      <c r="F398" s="33"/>
      <c r="G398" s="33"/>
    </row>
    <row r="399">
      <c r="F399" s="33"/>
      <c r="G399" s="33"/>
    </row>
    <row r="400">
      <c r="F400" s="33"/>
      <c r="G400" s="33"/>
    </row>
    <row r="401">
      <c r="F401" s="33"/>
      <c r="G401" s="33"/>
    </row>
    <row r="402">
      <c r="F402" s="33"/>
      <c r="G402" s="33"/>
    </row>
    <row r="403">
      <c r="F403" s="33"/>
      <c r="G403" s="33"/>
    </row>
    <row r="404">
      <c r="F404" s="33"/>
      <c r="G404" s="33"/>
    </row>
    <row r="405">
      <c r="F405" s="33"/>
      <c r="G405" s="33"/>
    </row>
    <row r="406">
      <c r="F406" s="33"/>
      <c r="G406" s="33"/>
    </row>
    <row r="407">
      <c r="F407" s="33"/>
      <c r="G407" s="33"/>
    </row>
    <row r="408">
      <c r="F408" s="33"/>
      <c r="G408" s="33"/>
    </row>
    <row r="409">
      <c r="F409" s="33"/>
      <c r="G409" s="33"/>
    </row>
    <row r="410">
      <c r="F410" s="33"/>
      <c r="G410" s="33"/>
    </row>
    <row r="411">
      <c r="F411" s="33"/>
      <c r="G411" s="33"/>
    </row>
    <row r="412">
      <c r="F412" s="33"/>
      <c r="G412" s="33"/>
    </row>
    <row r="413">
      <c r="F413" s="33"/>
      <c r="G413" s="33"/>
    </row>
    <row r="414">
      <c r="F414" s="33"/>
      <c r="G414" s="33"/>
    </row>
    <row r="415">
      <c r="F415" s="33"/>
      <c r="G415" s="33"/>
    </row>
    <row r="416">
      <c r="F416" s="33"/>
      <c r="G416" s="33"/>
    </row>
    <row r="417">
      <c r="F417" s="33"/>
      <c r="G417" s="33"/>
    </row>
    <row r="418">
      <c r="F418" s="33"/>
      <c r="G418" s="33"/>
    </row>
    <row r="419">
      <c r="F419" s="33"/>
      <c r="G419" s="33"/>
    </row>
    <row r="420">
      <c r="F420" s="33"/>
      <c r="G420" s="33"/>
    </row>
    <row r="421">
      <c r="F421" s="33"/>
      <c r="G421" s="33"/>
    </row>
    <row r="422">
      <c r="F422" s="33"/>
      <c r="G422" s="33"/>
    </row>
    <row r="423">
      <c r="F423" s="33"/>
      <c r="G423" s="33"/>
    </row>
    <row r="424">
      <c r="F424" s="33"/>
      <c r="G424" s="33"/>
    </row>
    <row r="425">
      <c r="F425" s="33"/>
      <c r="G425" s="33"/>
    </row>
    <row r="426">
      <c r="F426" s="33"/>
      <c r="G426" s="33"/>
    </row>
    <row r="427">
      <c r="F427" s="33"/>
      <c r="G427" s="33"/>
    </row>
    <row r="428">
      <c r="F428" s="33"/>
      <c r="G428" s="33"/>
    </row>
    <row r="429">
      <c r="F429" s="33"/>
      <c r="G429" s="33"/>
    </row>
    <row r="430">
      <c r="F430" s="33"/>
      <c r="G430" s="33"/>
    </row>
    <row r="431">
      <c r="F431" s="33"/>
      <c r="G431" s="33"/>
    </row>
    <row r="432">
      <c r="F432" s="33"/>
      <c r="G432" s="33"/>
    </row>
    <row r="433">
      <c r="F433" s="33"/>
      <c r="G433" s="33"/>
    </row>
    <row r="434">
      <c r="F434" s="33"/>
      <c r="G434" s="33"/>
    </row>
    <row r="435">
      <c r="F435" s="33"/>
      <c r="G435" s="33"/>
    </row>
    <row r="436">
      <c r="F436" s="33"/>
      <c r="G436" s="33"/>
    </row>
    <row r="437">
      <c r="F437" s="33"/>
      <c r="G437" s="33"/>
    </row>
    <row r="438">
      <c r="F438" s="33"/>
      <c r="G438" s="33"/>
    </row>
    <row r="439">
      <c r="F439" s="33"/>
      <c r="G439" s="33"/>
    </row>
    <row r="440">
      <c r="F440" s="33"/>
      <c r="G440" s="33"/>
    </row>
    <row r="441">
      <c r="F441" s="33"/>
      <c r="G441" s="33"/>
    </row>
    <row r="442">
      <c r="F442" s="33"/>
      <c r="G442" s="33"/>
    </row>
    <row r="443">
      <c r="F443" s="33"/>
      <c r="G443" s="33"/>
    </row>
    <row r="444">
      <c r="F444" s="33"/>
      <c r="G444" s="33"/>
    </row>
    <row r="445">
      <c r="F445" s="33"/>
      <c r="G445" s="33"/>
    </row>
    <row r="446">
      <c r="F446" s="33"/>
      <c r="G446" s="33"/>
    </row>
    <row r="447">
      <c r="F447" s="33"/>
      <c r="G447" s="33"/>
    </row>
    <row r="448">
      <c r="F448" s="33"/>
      <c r="G448" s="33"/>
    </row>
    <row r="449">
      <c r="F449" s="33"/>
      <c r="G449" s="33"/>
    </row>
    <row r="450">
      <c r="F450" s="33"/>
      <c r="G450" s="33"/>
    </row>
    <row r="451">
      <c r="F451" s="33"/>
      <c r="G451" s="33"/>
    </row>
    <row r="452">
      <c r="F452" s="33"/>
      <c r="G452" s="33"/>
    </row>
    <row r="453">
      <c r="F453" s="33"/>
      <c r="G453" s="33"/>
    </row>
    <row r="454">
      <c r="F454" s="33"/>
      <c r="G454" s="33"/>
    </row>
    <row r="455">
      <c r="F455" s="33"/>
      <c r="G455" s="33"/>
    </row>
    <row r="456">
      <c r="F456" s="33"/>
      <c r="G456" s="33"/>
    </row>
    <row r="457">
      <c r="F457" s="33"/>
      <c r="G457" s="33"/>
    </row>
    <row r="458">
      <c r="F458" s="33"/>
      <c r="G458" s="33"/>
    </row>
    <row r="459">
      <c r="F459" s="33"/>
      <c r="G459" s="33"/>
    </row>
    <row r="460">
      <c r="F460" s="33"/>
      <c r="G460" s="33"/>
    </row>
    <row r="461">
      <c r="F461" s="33"/>
      <c r="G461" s="33"/>
    </row>
    <row r="462">
      <c r="F462" s="33"/>
      <c r="G462" s="33"/>
    </row>
    <row r="463">
      <c r="F463" s="33"/>
      <c r="G463" s="33"/>
    </row>
    <row r="464">
      <c r="F464" s="33"/>
      <c r="G464" s="33"/>
    </row>
    <row r="465">
      <c r="F465" s="33"/>
      <c r="G465" s="33"/>
    </row>
    <row r="466">
      <c r="F466" s="33"/>
      <c r="G466" s="33"/>
    </row>
    <row r="467">
      <c r="F467" s="33"/>
      <c r="G467" s="33"/>
    </row>
    <row r="468">
      <c r="F468" s="33"/>
      <c r="G468" s="33"/>
    </row>
    <row r="469">
      <c r="F469" s="33"/>
      <c r="G469" s="33"/>
    </row>
    <row r="470">
      <c r="F470" s="33"/>
      <c r="G470" s="33"/>
    </row>
    <row r="471">
      <c r="F471" s="33"/>
      <c r="G471" s="33"/>
    </row>
    <row r="472">
      <c r="F472" s="33"/>
      <c r="G472" s="33"/>
    </row>
    <row r="473">
      <c r="F473" s="33"/>
      <c r="G473" s="33"/>
    </row>
    <row r="474">
      <c r="F474" s="33"/>
      <c r="G474" s="33"/>
    </row>
    <row r="475">
      <c r="F475" s="33"/>
      <c r="G475" s="33"/>
    </row>
    <row r="476">
      <c r="F476" s="33"/>
      <c r="G476" s="33"/>
    </row>
    <row r="477">
      <c r="F477" s="33"/>
      <c r="G477" s="33"/>
    </row>
    <row r="478">
      <c r="F478" s="33"/>
      <c r="G478" s="33"/>
    </row>
    <row r="479">
      <c r="F479" s="33"/>
      <c r="G479" s="33"/>
    </row>
    <row r="480">
      <c r="F480" s="33"/>
      <c r="G480" s="33"/>
    </row>
    <row r="481">
      <c r="F481" s="33"/>
      <c r="G481" s="33"/>
    </row>
    <row r="482">
      <c r="F482" s="33"/>
      <c r="G482" s="33"/>
    </row>
    <row r="483">
      <c r="F483" s="33"/>
      <c r="G483" s="33"/>
    </row>
    <row r="484">
      <c r="F484" s="33"/>
      <c r="G484" s="33"/>
    </row>
    <row r="485">
      <c r="F485" s="33"/>
      <c r="G485" s="33"/>
    </row>
    <row r="486">
      <c r="F486" s="33"/>
      <c r="G486" s="33"/>
    </row>
    <row r="487">
      <c r="F487" s="33"/>
      <c r="G487" s="33"/>
    </row>
    <row r="488">
      <c r="F488" s="33"/>
      <c r="G488" s="33"/>
    </row>
    <row r="489">
      <c r="F489" s="33"/>
      <c r="G489" s="33"/>
    </row>
    <row r="490">
      <c r="F490" s="33"/>
      <c r="G490" s="33"/>
    </row>
    <row r="491">
      <c r="F491" s="33"/>
      <c r="G491" s="33"/>
    </row>
    <row r="492">
      <c r="F492" s="33"/>
      <c r="G492" s="33"/>
    </row>
    <row r="493">
      <c r="F493" s="33"/>
      <c r="G493" s="33"/>
    </row>
    <row r="494">
      <c r="F494" s="33"/>
      <c r="G494" s="33"/>
    </row>
    <row r="495">
      <c r="F495" s="33"/>
      <c r="G495" s="33"/>
    </row>
    <row r="496">
      <c r="F496" s="33"/>
      <c r="G496" s="33"/>
    </row>
    <row r="497">
      <c r="F497" s="33"/>
      <c r="G497" s="33"/>
    </row>
    <row r="498">
      <c r="F498" s="33"/>
      <c r="G498" s="33"/>
    </row>
    <row r="499">
      <c r="F499" s="33"/>
      <c r="G499" s="33"/>
    </row>
    <row r="500">
      <c r="F500" s="33"/>
      <c r="G500" s="33"/>
    </row>
    <row r="501">
      <c r="F501" s="33"/>
      <c r="G501" s="33"/>
    </row>
    <row r="502">
      <c r="F502" s="33"/>
      <c r="G502" s="33"/>
    </row>
    <row r="503">
      <c r="F503" s="33"/>
      <c r="G503" s="33"/>
    </row>
    <row r="504">
      <c r="F504" s="33"/>
      <c r="G504" s="33"/>
    </row>
    <row r="505">
      <c r="F505" s="33"/>
      <c r="G505" s="33"/>
    </row>
    <row r="506">
      <c r="F506" s="33"/>
      <c r="G506" s="33"/>
    </row>
    <row r="507">
      <c r="F507" s="33"/>
      <c r="G507" s="33"/>
    </row>
    <row r="508">
      <c r="F508" s="33"/>
      <c r="G508" s="33"/>
    </row>
    <row r="509">
      <c r="F509" s="33"/>
      <c r="G509" s="33"/>
    </row>
    <row r="510">
      <c r="F510" s="33"/>
      <c r="G510" s="33"/>
    </row>
    <row r="511">
      <c r="F511" s="33"/>
      <c r="G511" s="33"/>
    </row>
    <row r="512">
      <c r="F512" s="33"/>
      <c r="G512" s="33"/>
    </row>
    <row r="513">
      <c r="F513" s="33"/>
      <c r="G513" s="33"/>
    </row>
    <row r="514">
      <c r="F514" s="33"/>
      <c r="G514" s="33"/>
    </row>
    <row r="515">
      <c r="F515" s="33"/>
      <c r="G515" s="33"/>
    </row>
    <row r="516">
      <c r="F516" s="33"/>
      <c r="G516" s="33"/>
    </row>
    <row r="517">
      <c r="F517" s="33"/>
      <c r="G517" s="33"/>
    </row>
    <row r="518">
      <c r="F518" s="33"/>
      <c r="G518" s="33"/>
    </row>
    <row r="519">
      <c r="F519" s="33"/>
      <c r="G519" s="33"/>
    </row>
    <row r="520">
      <c r="F520" s="33"/>
      <c r="G520" s="33"/>
    </row>
    <row r="521">
      <c r="F521" s="33"/>
      <c r="G521" s="33"/>
    </row>
    <row r="522">
      <c r="F522" s="33"/>
      <c r="G522" s="33"/>
    </row>
    <row r="523">
      <c r="F523" s="33"/>
      <c r="G523" s="33"/>
    </row>
    <row r="524">
      <c r="F524" s="33"/>
      <c r="G524" s="33"/>
    </row>
    <row r="525">
      <c r="F525" s="33"/>
      <c r="G525" s="33"/>
    </row>
    <row r="526">
      <c r="F526" s="33"/>
      <c r="G526" s="33"/>
    </row>
    <row r="527">
      <c r="F527" s="33"/>
      <c r="G527" s="33"/>
    </row>
    <row r="528">
      <c r="F528" s="33"/>
      <c r="G528" s="33"/>
    </row>
    <row r="529">
      <c r="F529" s="33"/>
      <c r="G529" s="33"/>
    </row>
    <row r="530">
      <c r="F530" s="33"/>
      <c r="G530" s="33"/>
    </row>
    <row r="531">
      <c r="F531" s="33"/>
      <c r="G531" s="33"/>
    </row>
    <row r="532">
      <c r="F532" s="33"/>
      <c r="G532" s="33"/>
    </row>
    <row r="533">
      <c r="F533" s="33"/>
      <c r="G533" s="33"/>
    </row>
    <row r="534">
      <c r="F534" s="33"/>
      <c r="G534" s="33"/>
    </row>
    <row r="535">
      <c r="F535" s="33"/>
      <c r="G535" s="33"/>
    </row>
    <row r="536">
      <c r="F536" s="33"/>
      <c r="G536" s="33"/>
    </row>
    <row r="537">
      <c r="F537" s="33"/>
      <c r="G537" s="33"/>
    </row>
    <row r="538">
      <c r="F538" s="33"/>
      <c r="G538" s="33"/>
    </row>
    <row r="539">
      <c r="F539" s="33"/>
      <c r="G539" s="33"/>
    </row>
    <row r="540">
      <c r="F540" s="33"/>
      <c r="G540" s="33"/>
    </row>
    <row r="541">
      <c r="F541" s="33"/>
      <c r="G541" s="33"/>
    </row>
    <row r="542">
      <c r="F542" s="33"/>
      <c r="G542" s="33"/>
    </row>
    <row r="543">
      <c r="F543" s="33"/>
      <c r="G543" s="33"/>
    </row>
    <row r="544">
      <c r="F544" s="33"/>
      <c r="G544" s="33"/>
    </row>
    <row r="545">
      <c r="F545" s="33"/>
      <c r="G545" s="33"/>
    </row>
    <row r="546">
      <c r="F546" s="33"/>
      <c r="G546" s="33"/>
    </row>
    <row r="547">
      <c r="F547" s="33"/>
      <c r="G547" s="33"/>
    </row>
    <row r="548">
      <c r="F548" s="33"/>
      <c r="G548" s="33"/>
    </row>
    <row r="549">
      <c r="F549" s="33"/>
      <c r="G549" s="33"/>
    </row>
    <row r="550">
      <c r="F550" s="33"/>
      <c r="G550" s="33"/>
    </row>
    <row r="551">
      <c r="F551" s="33"/>
      <c r="G551" s="33"/>
    </row>
    <row r="552">
      <c r="F552" s="33"/>
      <c r="G552" s="33"/>
    </row>
    <row r="553">
      <c r="F553" s="33"/>
      <c r="G553" s="33"/>
    </row>
    <row r="554">
      <c r="F554" s="33"/>
      <c r="G554" s="33"/>
    </row>
    <row r="555">
      <c r="F555" s="33"/>
      <c r="G555" s="33"/>
    </row>
    <row r="556">
      <c r="F556" s="33"/>
      <c r="G556" s="33"/>
    </row>
    <row r="557">
      <c r="F557" s="33"/>
      <c r="G557" s="33"/>
    </row>
    <row r="558">
      <c r="F558" s="33"/>
      <c r="G558" s="33"/>
    </row>
    <row r="559">
      <c r="F559" s="33"/>
      <c r="G559" s="33"/>
    </row>
    <row r="560">
      <c r="F560" s="33"/>
      <c r="G560" s="33"/>
    </row>
    <row r="561">
      <c r="F561" s="33"/>
      <c r="G561" s="33"/>
    </row>
    <row r="562">
      <c r="F562" s="33"/>
      <c r="G562" s="33"/>
    </row>
    <row r="563">
      <c r="F563" s="33"/>
      <c r="G563" s="33"/>
    </row>
    <row r="564">
      <c r="F564" s="33"/>
      <c r="G564" s="33"/>
    </row>
    <row r="565">
      <c r="F565" s="33"/>
      <c r="G565" s="33"/>
    </row>
    <row r="566">
      <c r="F566" s="33"/>
      <c r="G566" s="33"/>
    </row>
    <row r="567">
      <c r="F567" s="33"/>
      <c r="G567" s="33"/>
    </row>
    <row r="568">
      <c r="F568" s="33"/>
      <c r="G568" s="33"/>
    </row>
    <row r="569">
      <c r="F569" s="33"/>
      <c r="G569" s="33"/>
    </row>
    <row r="570">
      <c r="F570" s="33"/>
      <c r="G570" s="33"/>
    </row>
    <row r="571">
      <c r="F571" s="33"/>
      <c r="G571" s="33"/>
    </row>
    <row r="572">
      <c r="F572" s="33"/>
      <c r="G572" s="33"/>
    </row>
    <row r="573">
      <c r="F573" s="33"/>
      <c r="G573" s="33"/>
    </row>
    <row r="574">
      <c r="F574" s="33"/>
      <c r="G574" s="33"/>
    </row>
    <row r="575">
      <c r="F575" s="33"/>
      <c r="G575" s="33"/>
    </row>
    <row r="576">
      <c r="F576" s="33"/>
      <c r="G576" s="33"/>
    </row>
    <row r="577">
      <c r="F577" s="33"/>
      <c r="G577" s="33"/>
    </row>
    <row r="578">
      <c r="F578" s="33"/>
      <c r="G578" s="33"/>
    </row>
    <row r="579">
      <c r="F579" s="33"/>
      <c r="G579" s="33"/>
    </row>
    <row r="580">
      <c r="F580" s="33"/>
      <c r="G580" s="33"/>
    </row>
    <row r="581">
      <c r="F581" s="33"/>
      <c r="G581" s="33"/>
    </row>
    <row r="582">
      <c r="F582" s="33"/>
      <c r="G582" s="33"/>
    </row>
    <row r="583">
      <c r="F583" s="33"/>
      <c r="G583" s="33"/>
    </row>
    <row r="584">
      <c r="F584" s="33"/>
      <c r="G584" s="33"/>
    </row>
    <row r="585">
      <c r="F585" s="33"/>
      <c r="G585" s="33"/>
    </row>
    <row r="586">
      <c r="F586" s="33"/>
      <c r="G586" s="33"/>
    </row>
    <row r="587">
      <c r="F587" s="33"/>
      <c r="G587" s="33"/>
    </row>
    <row r="588">
      <c r="F588" s="33"/>
      <c r="G588" s="33"/>
    </row>
    <row r="589">
      <c r="F589" s="33"/>
      <c r="G589" s="33"/>
    </row>
    <row r="590">
      <c r="F590" s="33"/>
      <c r="G590" s="33"/>
    </row>
    <row r="591">
      <c r="F591" s="33"/>
      <c r="G591" s="33"/>
    </row>
    <row r="592">
      <c r="F592" s="33"/>
      <c r="G592" s="33"/>
    </row>
    <row r="593">
      <c r="F593" s="33"/>
      <c r="G593" s="33"/>
    </row>
    <row r="594">
      <c r="F594" s="33"/>
      <c r="G594" s="33"/>
    </row>
    <row r="595">
      <c r="F595" s="33"/>
      <c r="G595" s="33"/>
    </row>
    <row r="596">
      <c r="F596" s="33"/>
      <c r="G596" s="33"/>
    </row>
    <row r="597">
      <c r="F597" s="33"/>
      <c r="G597" s="33"/>
    </row>
    <row r="598">
      <c r="F598" s="33"/>
      <c r="G598" s="33"/>
    </row>
    <row r="599">
      <c r="F599" s="33"/>
      <c r="G599" s="33"/>
    </row>
    <row r="600">
      <c r="F600" s="33"/>
      <c r="G600" s="33"/>
    </row>
    <row r="601">
      <c r="F601" s="33"/>
      <c r="G601" s="33"/>
    </row>
    <row r="602">
      <c r="F602" s="33"/>
      <c r="G602" s="33"/>
    </row>
    <row r="603">
      <c r="F603" s="33"/>
      <c r="G603" s="33"/>
    </row>
    <row r="604">
      <c r="F604" s="33"/>
      <c r="G604" s="33"/>
    </row>
    <row r="605">
      <c r="F605" s="33"/>
      <c r="G605" s="33"/>
    </row>
    <row r="606">
      <c r="F606" s="33"/>
      <c r="G606" s="33"/>
    </row>
    <row r="607">
      <c r="F607" s="33"/>
      <c r="G607" s="33"/>
    </row>
    <row r="608">
      <c r="F608" s="33"/>
      <c r="G608" s="33"/>
    </row>
    <row r="609">
      <c r="F609" s="33"/>
      <c r="G609" s="33"/>
    </row>
    <row r="610">
      <c r="F610" s="33"/>
      <c r="G610" s="33"/>
    </row>
    <row r="611">
      <c r="F611" s="33"/>
      <c r="G611" s="33"/>
    </row>
    <row r="612">
      <c r="F612" s="33"/>
      <c r="G612" s="33"/>
    </row>
    <row r="613">
      <c r="F613" s="33"/>
      <c r="G613" s="33"/>
    </row>
    <row r="614">
      <c r="F614" s="33"/>
      <c r="G614" s="33"/>
    </row>
    <row r="615">
      <c r="F615" s="33"/>
      <c r="G615" s="33"/>
    </row>
    <row r="616">
      <c r="F616" s="33"/>
      <c r="G616" s="33"/>
    </row>
    <row r="617">
      <c r="F617" s="33"/>
      <c r="G617" s="33"/>
    </row>
    <row r="618">
      <c r="F618" s="33"/>
      <c r="G618" s="33"/>
    </row>
    <row r="619">
      <c r="F619" s="33"/>
      <c r="G619" s="33"/>
    </row>
    <row r="620">
      <c r="F620" s="33"/>
      <c r="G620" s="33"/>
    </row>
    <row r="621">
      <c r="F621" s="33"/>
      <c r="G621" s="33"/>
    </row>
    <row r="622">
      <c r="F622" s="33"/>
      <c r="G622" s="33"/>
    </row>
    <row r="623">
      <c r="F623" s="33"/>
      <c r="G623" s="33"/>
    </row>
    <row r="624">
      <c r="F624" s="33"/>
      <c r="G624" s="33"/>
    </row>
    <row r="625">
      <c r="F625" s="33"/>
      <c r="G625" s="33"/>
    </row>
    <row r="626">
      <c r="F626" s="33"/>
      <c r="G626" s="33"/>
    </row>
    <row r="627">
      <c r="F627" s="33"/>
      <c r="G627" s="33"/>
    </row>
    <row r="628">
      <c r="F628" s="33"/>
      <c r="G628" s="33"/>
    </row>
    <row r="629">
      <c r="F629" s="33"/>
      <c r="G629" s="33"/>
    </row>
    <row r="630">
      <c r="F630" s="33"/>
      <c r="G630" s="33"/>
    </row>
    <row r="631">
      <c r="F631" s="33"/>
      <c r="G631" s="33"/>
    </row>
    <row r="632">
      <c r="F632" s="33"/>
      <c r="G632" s="33"/>
    </row>
    <row r="633">
      <c r="F633" s="33"/>
      <c r="G633" s="33"/>
    </row>
    <row r="634">
      <c r="F634" s="33"/>
      <c r="G634" s="33"/>
    </row>
    <row r="635">
      <c r="F635" s="33"/>
      <c r="G635" s="33"/>
    </row>
    <row r="636">
      <c r="F636" s="33"/>
      <c r="G636" s="33"/>
    </row>
    <row r="637">
      <c r="F637" s="33"/>
      <c r="G637" s="33"/>
    </row>
    <row r="638">
      <c r="F638" s="33"/>
      <c r="G638" s="33"/>
    </row>
    <row r="639">
      <c r="F639" s="33"/>
      <c r="G639" s="33"/>
    </row>
    <row r="640">
      <c r="F640" s="33"/>
      <c r="G640" s="33"/>
    </row>
    <row r="641">
      <c r="F641" s="33"/>
      <c r="G641" s="33"/>
    </row>
    <row r="642">
      <c r="F642" s="33"/>
      <c r="G642" s="33"/>
    </row>
    <row r="643">
      <c r="F643" s="33"/>
      <c r="G643" s="33"/>
    </row>
    <row r="644">
      <c r="F644" s="33"/>
      <c r="G644" s="33"/>
    </row>
    <row r="645">
      <c r="F645" s="33"/>
      <c r="G645" s="33"/>
    </row>
    <row r="646">
      <c r="F646" s="33"/>
      <c r="G646" s="33"/>
    </row>
    <row r="647">
      <c r="F647" s="33"/>
      <c r="G647" s="33"/>
    </row>
    <row r="648">
      <c r="F648" s="33"/>
      <c r="G648" s="33"/>
    </row>
    <row r="649">
      <c r="F649" s="33"/>
      <c r="G649" s="33"/>
    </row>
    <row r="650">
      <c r="F650" s="33"/>
      <c r="G650" s="33"/>
    </row>
    <row r="651">
      <c r="F651" s="33"/>
      <c r="G651" s="33"/>
    </row>
    <row r="652">
      <c r="F652" s="33"/>
      <c r="G652" s="33"/>
    </row>
    <row r="653">
      <c r="F653" s="33"/>
      <c r="G653" s="33"/>
    </row>
    <row r="654">
      <c r="F654" s="33"/>
      <c r="G654" s="33"/>
    </row>
    <row r="655">
      <c r="F655" s="33"/>
      <c r="G655" s="33"/>
    </row>
    <row r="656">
      <c r="F656" s="33"/>
      <c r="G656" s="33"/>
    </row>
    <row r="657">
      <c r="F657" s="33"/>
      <c r="G657" s="33"/>
    </row>
    <row r="658">
      <c r="F658" s="33"/>
      <c r="G658" s="33"/>
    </row>
    <row r="659">
      <c r="F659" s="33"/>
      <c r="G659" s="33"/>
    </row>
    <row r="660">
      <c r="F660" s="33"/>
      <c r="G660" s="33"/>
    </row>
    <row r="661">
      <c r="F661" s="33"/>
      <c r="G661" s="33"/>
    </row>
    <row r="662">
      <c r="F662" s="33"/>
      <c r="G662" s="33"/>
    </row>
    <row r="663">
      <c r="F663" s="33"/>
      <c r="G663" s="33"/>
    </row>
    <row r="664">
      <c r="F664" s="33"/>
      <c r="G664" s="33"/>
    </row>
    <row r="665">
      <c r="F665" s="33"/>
      <c r="G665" s="33"/>
    </row>
    <row r="666">
      <c r="F666" s="33"/>
      <c r="G666" s="33"/>
    </row>
    <row r="667">
      <c r="F667" s="33"/>
      <c r="G667" s="33"/>
    </row>
    <row r="668">
      <c r="F668" s="33"/>
      <c r="G668" s="33"/>
    </row>
    <row r="669">
      <c r="F669" s="33"/>
      <c r="G669" s="33"/>
    </row>
    <row r="670">
      <c r="F670" s="33"/>
      <c r="G670" s="33"/>
    </row>
    <row r="671">
      <c r="F671" s="33"/>
      <c r="G671" s="33"/>
    </row>
    <row r="672">
      <c r="F672" s="33"/>
      <c r="G672" s="33"/>
    </row>
    <row r="673">
      <c r="F673" s="33"/>
      <c r="G673" s="33"/>
    </row>
    <row r="674">
      <c r="F674" s="33"/>
      <c r="G674" s="33"/>
    </row>
    <row r="675">
      <c r="F675" s="33"/>
      <c r="G675" s="33"/>
    </row>
    <row r="676">
      <c r="F676" s="33"/>
      <c r="G676" s="33"/>
    </row>
    <row r="677">
      <c r="F677" s="33"/>
      <c r="G677" s="33"/>
    </row>
    <row r="678">
      <c r="F678" s="33"/>
      <c r="G678" s="33"/>
    </row>
    <row r="679">
      <c r="F679" s="33"/>
      <c r="G679" s="33"/>
    </row>
    <row r="680">
      <c r="F680" s="33"/>
      <c r="G680" s="33"/>
    </row>
    <row r="681">
      <c r="F681" s="33"/>
      <c r="G681" s="33"/>
    </row>
    <row r="682">
      <c r="F682" s="33"/>
      <c r="G682" s="33"/>
    </row>
    <row r="683">
      <c r="F683" s="33"/>
      <c r="G683" s="33"/>
    </row>
    <row r="684">
      <c r="F684" s="33"/>
      <c r="G684" s="33"/>
    </row>
    <row r="685">
      <c r="F685" s="33"/>
      <c r="G685" s="33"/>
    </row>
    <row r="686">
      <c r="F686" s="33"/>
      <c r="G686" s="33"/>
    </row>
    <row r="687">
      <c r="F687" s="33"/>
      <c r="G687" s="33"/>
    </row>
    <row r="688">
      <c r="F688" s="33"/>
      <c r="G688" s="33"/>
    </row>
    <row r="689">
      <c r="F689" s="33"/>
      <c r="G689" s="33"/>
    </row>
    <row r="690">
      <c r="F690" s="33"/>
      <c r="G690" s="33"/>
    </row>
    <row r="691">
      <c r="F691" s="33"/>
      <c r="G691" s="33"/>
    </row>
    <row r="692">
      <c r="F692" s="33"/>
      <c r="G692" s="33"/>
    </row>
    <row r="693">
      <c r="F693" s="33"/>
      <c r="G693" s="33"/>
    </row>
    <row r="694">
      <c r="F694" s="33"/>
      <c r="G694" s="33"/>
    </row>
    <row r="695">
      <c r="F695" s="33"/>
      <c r="G695" s="33"/>
    </row>
    <row r="696">
      <c r="F696" s="33"/>
      <c r="G696" s="33"/>
    </row>
    <row r="697">
      <c r="F697" s="33"/>
      <c r="G697" s="33"/>
    </row>
    <row r="698">
      <c r="F698" s="33"/>
      <c r="G698" s="33"/>
    </row>
    <row r="699">
      <c r="F699" s="33"/>
      <c r="G699" s="33"/>
    </row>
    <row r="700">
      <c r="F700" s="33"/>
      <c r="G700" s="33"/>
    </row>
    <row r="701">
      <c r="F701" s="33"/>
      <c r="G701" s="33"/>
    </row>
    <row r="702">
      <c r="F702" s="33"/>
      <c r="G702" s="33"/>
    </row>
    <row r="703">
      <c r="F703" s="33"/>
      <c r="G703" s="33"/>
    </row>
    <row r="704">
      <c r="F704" s="33"/>
      <c r="G704" s="33"/>
    </row>
    <row r="705">
      <c r="F705" s="33"/>
      <c r="G705" s="33"/>
    </row>
    <row r="706">
      <c r="F706" s="33"/>
      <c r="G706" s="33"/>
    </row>
    <row r="707">
      <c r="F707" s="33"/>
      <c r="G707" s="33"/>
    </row>
    <row r="708">
      <c r="F708" s="33"/>
      <c r="G708" s="33"/>
    </row>
    <row r="709">
      <c r="F709" s="33"/>
      <c r="G709" s="33"/>
    </row>
    <row r="710">
      <c r="F710" s="33"/>
      <c r="G710" s="33"/>
    </row>
    <row r="711">
      <c r="F711" s="33"/>
      <c r="G711" s="33"/>
    </row>
    <row r="712">
      <c r="F712" s="33"/>
      <c r="G712" s="33"/>
    </row>
    <row r="713">
      <c r="F713" s="33"/>
      <c r="G713" s="33"/>
    </row>
    <row r="714">
      <c r="F714" s="33"/>
      <c r="G714" s="33"/>
    </row>
    <row r="715">
      <c r="F715" s="33"/>
      <c r="G715" s="33"/>
    </row>
    <row r="716">
      <c r="F716" s="33"/>
      <c r="G716" s="33"/>
    </row>
    <row r="717">
      <c r="F717" s="33"/>
      <c r="G717" s="33"/>
    </row>
    <row r="718">
      <c r="F718" s="33"/>
      <c r="G718" s="33"/>
    </row>
    <row r="719">
      <c r="F719" s="33"/>
      <c r="G719" s="33"/>
    </row>
    <row r="720">
      <c r="F720" s="33"/>
      <c r="G720" s="33"/>
    </row>
    <row r="721">
      <c r="F721" s="33"/>
      <c r="G721" s="33"/>
    </row>
    <row r="722">
      <c r="F722" s="33"/>
      <c r="G722" s="33"/>
    </row>
    <row r="723">
      <c r="F723" s="33"/>
      <c r="G723" s="33"/>
    </row>
    <row r="724">
      <c r="F724" s="33"/>
      <c r="G724" s="33"/>
    </row>
    <row r="725">
      <c r="F725" s="33"/>
      <c r="G725" s="33"/>
    </row>
    <row r="726">
      <c r="F726" s="33"/>
      <c r="G726" s="33"/>
    </row>
    <row r="727">
      <c r="F727" s="33"/>
      <c r="G727" s="33"/>
    </row>
    <row r="728">
      <c r="F728" s="33"/>
      <c r="G728" s="33"/>
    </row>
    <row r="729">
      <c r="F729" s="33"/>
      <c r="G729" s="33"/>
    </row>
    <row r="730">
      <c r="F730" s="33"/>
      <c r="G730" s="33"/>
    </row>
    <row r="731">
      <c r="F731" s="33"/>
      <c r="G731" s="33"/>
    </row>
    <row r="732">
      <c r="F732" s="33"/>
      <c r="G732" s="33"/>
    </row>
    <row r="733">
      <c r="F733" s="33"/>
      <c r="G733" s="33"/>
    </row>
    <row r="734">
      <c r="F734" s="33"/>
      <c r="G734" s="33"/>
    </row>
    <row r="735">
      <c r="F735" s="33"/>
      <c r="G735" s="33"/>
    </row>
    <row r="736">
      <c r="F736" s="33"/>
      <c r="G736" s="33"/>
    </row>
    <row r="737">
      <c r="F737" s="33"/>
      <c r="G737" s="33"/>
    </row>
    <row r="738">
      <c r="F738" s="33"/>
      <c r="G738" s="33"/>
    </row>
    <row r="739">
      <c r="F739" s="33"/>
      <c r="G739" s="33"/>
    </row>
    <row r="740">
      <c r="F740" s="33"/>
      <c r="G740" s="33"/>
    </row>
    <row r="741">
      <c r="F741" s="33"/>
      <c r="G741" s="33"/>
    </row>
    <row r="742">
      <c r="F742" s="33"/>
      <c r="G742" s="33"/>
    </row>
    <row r="743">
      <c r="F743" s="33"/>
      <c r="G743" s="33"/>
    </row>
    <row r="744">
      <c r="F744" s="33"/>
      <c r="G744" s="33"/>
    </row>
    <row r="745">
      <c r="F745" s="33"/>
      <c r="G745" s="33"/>
    </row>
    <row r="746">
      <c r="F746" s="33"/>
      <c r="G746" s="33"/>
    </row>
    <row r="747">
      <c r="F747" s="33"/>
      <c r="G747" s="33"/>
    </row>
    <row r="748">
      <c r="F748" s="33"/>
      <c r="G748" s="33"/>
    </row>
    <row r="749">
      <c r="F749" s="33"/>
      <c r="G749" s="33"/>
    </row>
    <row r="750">
      <c r="F750" s="33"/>
      <c r="G750" s="33"/>
    </row>
    <row r="751">
      <c r="F751" s="33"/>
      <c r="G751" s="33"/>
    </row>
    <row r="752">
      <c r="F752" s="33"/>
      <c r="G752" s="33"/>
    </row>
    <row r="753">
      <c r="F753" s="33"/>
      <c r="G753" s="33"/>
    </row>
    <row r="754">
      <c r="F754" s="33"/>
      <c r="G754" s="33"/>
    </row>
    <row r="755">
      <c r="F755" s="33"/>
      <c r="G755" s="33"/>
    </row>
    <row r="756">
      <c r="F756" s="33"/>
      <c r="G756" s="33"/>
    </row>
    <row r="757">
      <c r="F757" s="33"/>
      <c r="G757" s="33"/>
    </row>
    <row r="758">
      <c r="F758" s="33"/>
      <c r="G758" s="33"/>
    </row>
    <row r="759">
      <c r="F759" s="33"/>
      <c r="G759" s="33"/>
    </row>
    <row r="760">
      <c r="F760" s="33"/>
      <c r="G760" s="33"/>
    </row>
    <row r="761">
      <c r="F761" s="33"/>
      <c r="G761" s="33"/>
    </row>
    <row r="762">
      <c r="F762" s="33"/>
      <c r="G762" s="33"/>
    </row>
    <row r="763">
      <c r="F763" s="33"/>
      <c r="G763" s="33"/>
    </row>
    <row r="764">
      <c r="F764" s="33"/>
      <c r="G764" s="33"/>
    </row>
    <row r="765">
      <c r="F765" s="33"/>
      <c r="G765" s="33"/>
    </row>
    <row r="766">
      <c r="F766" s="33"/>
      <c r="G766" s="33"/>
    </row>
    <row r="767">
      <c r="F767" s="33"/>
      <c r="G767" s="33"/>
    </row>
    <row r="768">
      <c r="F768" s="33"/>
      <c r="G768" s="33"/>
    </row>
    <row r="769">
      <c r="F769" s="33"/>
      <c r="G769" s="33"/>
    </row>
    <row r="770">
      <c r="F770" s="33"/>
      <c r="G770" s="33"/>
    </row>
    <row r="771">
      <c r="F771" s="33"/>
      <c r="G771" s="33"/>
    </row>
    <row r="772">
      <c r="F772" s="33"/>
      <c r="G772" s="33"/>
    </row>
    <row r="773">
      <c r="F773" s="33"/>
      <c r="G773" s="33"/>
    </row>
    <row r="774">
      <c r="F774" s="33"/>
      <c r="G774" s="33"/>
    </row>
    <row r="775">
      <c r="F775" s="33"/>
      <c r="G775" s="33"/>
    </row>
    <row r="776">
      <c r="F776" s="33"/>
      <c r="G776" s="33"/>
    </row>
    <row r="777">
      <c r="F777" s="33"/>
      <c r="G777" s="33"/>
    </row>
    <row r="778">
      <c r="F778" s="33"/>
      <c r="G778" s="33"/>
    </row>
    <row r="779">
      <c r="F779" s="33"/>
      <c r="G779" s="33"/>
    </row>
    <row r="780">
      <c r="F780" s="33"/>
      <c r="G780" s="33"/>
    </row>
    <row r="781">
      <c r="F781" s="33"/>
      <c r="G781" s="33"/>
    </row>
    <row r="782">
      <c r="F782" s="33"/>
      <c r="G782" s="33"/>
    </row>
    <row r="783">
      <c r="F783" s="33"/>
      <c r="G783" s="33"/>
    </row>
    <row r="784">
      <c r="F784" s="33"/>
      <c r="G784" s="33"/>
    </row>
    <row r="785">
      <c r="F785" s="33"/>
      <c r="G785" s="33"/>
    </row>
    <row r="786">
      <c r="F786" s="33"/>
      <c r="G786" s="33"/>
    </row>
    <row r="787">
      <c r="F787" s="33"/>
      <c r="G787" s="33"/>
    </row>
    <row r="788">
      <c r="F788" s="33"/>
      <c r="G788" s="33"/>
    </row>
    <row r="789">
      <c r="F789" s="33"/>
      <c r="G789" s="33"/>
    </row>
    <row r="790">
      <c r="F790" s="33"/>
      <c r="G790" s="33"/>
    </row>
    <row r="791">
      <c r="F791" s="33"/>
      <c r="G791" s="33"/>
    </row>
    <row r="792">
      <c r="F792" s="33"/>
      <c r="G792" s="33"/>
    </row>
    <row r="793">
      <c r="F793" s="33"/>
      <c r="G793" s="33"/>
    </row>
    <row r="794">
      <c r="F794" s="33"/>
      <c r="G794" s="33"/>
    </row>
    <row r="795">
      <c r="F795" s="33"/>
      <c r="G795" s="33"/>
    </row>
    <row r="796">
      <c r="F796" s="33"/>
      <c r="G796" s="33"/>
    </row>
    <row r="797">
      <c r="F797" s="33"/>
      <c r="G797" s="33"/>
    </row>
    <row r="798">
      <c r="F798" s="33"/>
      <c r="G798" s="33"/>
    </row>
    <row r="799">
      <c r="F799" s="33"/>
      <c r="G799" s="33"/>
    </row>
    <row r="800">
      <c r="F800" s="33"/>
      <c r="G800" s="33"/>
    </row>
    <row r="801">
      <c r="F801" s="33"/>
      <c r="G801" s="33"/>
    </row>
    <row r="802">
      <c r="F802" s="33"/>
      <c r="G802" s="33"/>
    </row>
    <row r="803">
      <c r="F803" s="33"/>
      <c r="G803" s="33"/>
    </row>
    <row r="804">
      <c r="F804" s="33"/>
      <c r="G804" s="33"/>
    </row>
    <row r="805">
      <c r="F805" s="33"/>
      <c r="G805" s="33"/>
    </row>
    <row r="806">
      <c r="F806" s="33"/>
      <c r="G806" s="33"/>
    </row>
    <row r="807">
      <c r="F807" s="33"/>
      <c r="G807" s="33"/>
    </row>
    <row r="808">
      <c r="F808" s="33"/>
      <c r="G808" s="33"/>
    </row>
    <row r="809">
      <c r="F809" s="33"/>
      <c r="G809" s="33"/>
    </row>
    <row r="810">
      <c r="F810" s="33"/>
      <c r="G810" s="33"/>
    </row>
    <row r="811">
      <c r="F811" s="33"/>
      <c r="G811" s="33"/>
    </row>
    <row r="812">
      <c r="F812" s="33"/>
      <c r="G812" s="33"/>
    </row>
    <row r="813">
      <c r="F813" s="33"/>
      <c r="G813" s="33"/>
    </row>
    <row r="814">
      <c r="F814" s="33"/>
      <c r="G814" s="33"/>
    </row>
    <row r="815">
      <c r="F815" s="33"/>
      <c r="G815" s="33"/>
    </row>
    <row r="816">
      <c r="F816" s="33"/>
      <c r="G816" s="33"/>
    </row>
    <row r="817">
      <c r="F817" s="33"/>
      <c r="G817" s="33"/>
    </row>
    <row r="818">
      <c r="F818" s="33"/>
      <c r="G818" s="33"/>
    </row>
    <row r="819">
      <c r="F819" s="33"/>
      <c r="G819" s="33"/>
    </row>
    <row r="820">
      <c r="F820" s="33"/>
      <c r="G820" s="33"/>
    </row>
    <row r="821">
      <c r="F821" s="33"/>
      <c r="G821" s="33"/>
    </row>
    <row r="822">
      <c r="F822" s="33"/>
      <c r="G822" s="33"/>
    </row>
    <row r="823">
      <c r="F823" s="33"/>
      <c r="G823" s="33"/>
    </row>
    <row r="824">
      <c r="F824" s="33"/>
      <c r="G824" s="33"/>
    </row>
    <row r="825">
      <c r="F825" s="33"/>
      <c r="G825" s="33"/>
    </row>
    <row r="826">
      <c r="F826" s="33"/>
      <c r="G826" s="33"/>
    </row>
    <row r="827">
      <c r="F827" s="33"/>
      <c r="G827" s="33"/>
    </row>
    <row r="828">
      <c r="F828" s="33"/>
      <c r="G828" s="33"/>
    </row>
    <row r="829">
      <c r="F829" s="33"/>
      <c r="G829" s="33"/>
    </row>
    <row r="830">
      <c r="F830" s="33"/>
      <c r="G830" s="33"/>
    </row>
    <row r="831">
      <c r="F831" s="33"/>
      <c r="G831" s="33"/>
    </row>
    <row r="832">
      <c r="F832" s="33"/>
      <c r="G832" s="33"/>
    </row>
    <row r="833">
      <c r="F833" s="33"/>
      <c r="G833" s="33"/>
    </row>
    <row r="834">
      <c r="F834" s="33"/>
      <c r="G834" s="33"/>
    </row>
    <row r="835">
      <c r="F835" s="33"/>
      <c r="G835" s="33"/>
    </row>
    <row r="836">
      <c r="F836" s="33"/>
      <c r="G836" s="33"/>
    </row>
    <row r="837">
      <c r="F837" s="33"/>
      <c r="G837" s="33"/>
    </row>
    <row r="838">
      <c r="F838" s="33"/>
      <c r="G838" s="33"/>
    </row>
    <row r="839">
      <c r="F839" s="33"/>
      <c r="G839" s="33"/>
    </row>
    <row r="840">
      <c r="F840" s="33"/>
      <c r="G840" s="33"/>
    </row>
    <row r="841">
      <c r="F841" s="33"/>
      <c r="G841" s="33"/>
    </row>
    <row r="842">
      <c r="F842" s="33"/>
      <c r="G842" s="33"/>
    </row>
    <row r="843">
      <c r="F843" s="33"/>
      <c r="G843" s="33"/>
    </row>
    <row r="844">
      <c r="F844" s="33"/>
      <c r="G844" s="33"/>
    </row>
    <row r="845">
      <c r="F845" s="33"/>
      <c r="G845" s="33"/>
    </row>
    <row r="846">
      <c r="F846" s="33"/>
      <c r="G846" s="33"/>
    </row>
    <row r="847">
      <c r="F847" s="33"/>
      <c r="G847" s="33"/>
    </row>
    <row r="848">
      <c r="F848" s="33"/>
      <c r="G848" s="33"/>
    </row>
    <row r="849">
      <c r="F849" s="33"/>
      <c r="G849" s="33"/>
    </row>
    <row r="850">
      <c r="F850" s="33"/>
      <c r="G850" s="33"/>
    </row>
    <row r="851">
      <c r="F851" s="33"/>
      <c r="G851" s="33"/>
    </row>
    <row r="852">
      <c r="F852" s="33"/>
      <c r="G852" s="33"/>
    </row>
    <row r="853">
      <c r="F853" s="33"/>
      <c r="G853" s="33"/>
    </row>
    <row r="854">
      <c r="F854" s="33"/>
      <c r="G854" s="33"/>
    </row>
    <row r="855">
      <c r="F855" s="33"/>
      <c r="G855" s="33"/>
    </row>
    <row r="856">
      <c r="F856" s="33"/>
      <c r="G856" s="33"/>
    </row>
    <row r="857">
      <c r="F857" s="33"/>
      <c r="G857" s="33"/>
    </row>
    <row r="858">
      <c r="F858" s="33"/>
      <c r="G858" s="33"/>
    </row>
    <row r="859">
      <c r="F859" s="33"/>
      <c r="G859" s="33"/>
    </row>
    <row r="860">
      <c r="F860" s="33"/>
      <c r="G860" s="33"/>
    </row>
    <row r="861">
      <c r="F861" s="33"/>
      <c r="G861" s="33"/>
    </row>
    <row r="862">
      <c r="F862" s="33"/>
      <c r="G862" s="33"/>
    </row>
    <row r="863">
      <c r="F863" s="33"/>
      <c r="G863" s="33"/>
    </row>
    <row r="864">
      <c r="F864" s="33"/>
      <c r="G864" s="33"/>
    </row>
    <row r="865">
      <c r="F865" s="33"/>
      <c r="G865" s="33"/>
    </row>
    <row r="866">
      <c r="F866" s="33"/>
      <c r="G866" s="33"/>
    </row>
    <row r="867">
      <c r="F867" s="33"/>
      <c r="G867" s="33"/>
    </row>
    <row r="868">
      <c r="F868" s="33"/>
      <c r="G868" s="33"/>
    </row>
    <row r="869">
      <c r="F869" s="33"/>
      <c r="G869" s="33"/>
    </row>
    <row r="870">
      <c r="F870" s="33"/>
      <c r="G870" s="33"/>
    </row>
    <row r="871">
      <c r="F871" s="33"/>
      <c r="G871" s="33"/>
    </row>
    <row r="872">
      <c r="F872" s="33"/>
      <c r="G872" s="33"/>
    </row>
    <row r="873">
      <c r="F873" s="33"/>
      <c r="G873" s="33"/>
    </row>
    <row r="874">
      <c r="F874" s="33"/>
      <c r="G874" s="33"/>
    </row>
    <row r="875">
      <c r="F875" s="33"/>
      <c r="G875" s="33"/>
    </row>
    <row r="876">
      <c r="F876" s="33"/>
      <c r="G876" s="33"/>
    </row>
    <row r="877">
      <c r="F877" s="33"/>
      <c r="G877" s="33"/>
    </row>
    <row r="878">
      <c r="F878" s="33"/>
      <c r="G878" s="33"/>
    </row>
    <row r="879">
      <c r="F879" s="33"/>
      <c r="G879" s="33"/>
    </row>
    <row r="880">
      <c r="F880" s="33"/>
      <c r="G880" s="33"/>
    </row>
    <row r="881">
      <c r="F881" s="33"/>
      <c r="G881" s="33"/>
    </row>
    <row r="882">
      <c r="F882" s="33"/>
      <c r="G882" s="33"/>
    </row>
    <row r="883">
      <c r="F883" s="33"/>
      <c r="G883" s="33"/>
    </row>
    <row r="884">
      <c r="F884" s="33"/>
      <c r="G884" s="33"/>
    </row>
    <row r="885">
      <c r="F885" s="33"/>
      <c r="G885" s="33"/>
    </row>
    <row r="886">
      <c r="F886" s="33"/>
      <c r="G886" s="33"/>
    </row>
    <row r="887">
      <c r="F887" s="33"/>
      <c r="G887" s="33"/>
    </row>
    <row r="888">
      <c r="F888" s="33"/>
      <c r="G888" s="33"/>
    </row>
    <row r="889">
      <c r="F889" s="33"/>
      <c r="G889" s="33"/>
    </row>
    <row r="890">
      <c r="F890" s="33"/>
      <c r="G890" s="33"/>
    </row>
    <row r="891">
      <c r="F891" s="33"/>
      <c r="G891" s="33"/>
    </row>
    <row r="892">
      <c r="F892" s="33"/>
      <c r="G892" s="33"/>
    </row>
    <row r="893">
      <c r="F893" s="33"/>
      <c r="G893" s="33"/>
    </row>
    <row r="894">
      <c r="F894" s="33"/>
      <c r="G894" s="33"/>
    </row>
    <row r="895">
      <c r="F895" s="33"/>
      <c r="G895" s="33"/>
    </row>
    <row r="896">
      <c r="F896" s="33"/>
      <c r="G896" s="33"/>
    </row>
    <row r="897">
      <c r="F897" s="33"/>
      <c r="G897" s="33"/>
    </row>
    <row r="898">
      <c r="F898" s="33"/>
      <c r="G898" s="33"/>
    </row>
    <row r="899">
      <c r="F899" s="33"/>
      <c r="G899" s="33"/>
    </row>
    <row r="900">
      <c r="F900" s="33"/>
      <c r="G900" s="33"/>
    </row>
    <row r="901">
      <c r="F901" s="33"/>
      <c r="G901" s="33"/>
    </row>
    <row r="902">
      <c r="F902" s="33"/>
      <c r="G902" s="33"/>
    </row>
    <row r="903">
      <c r="F903" s="33"/>
      <c r="G903" s="33"/>
    </row>
    <row r="904">
      <c r="F904" s="33"/>
      <c r="G904" s="33"/>
    </row>
    <row r="905">
      <c r="F905" s="33"/>
      <c r="G905" s="33"/>
    </row>
    <row r="906">
      <c r="F906" s="33"/>
      <c r="G906" s="33"/>
    </row>
    <row r="907">
      <c r="F907" s="33"/>
      <c r="G907" s="33"/>
    </row>
    <row r="908">
      <c r="F908" s="33"/>
      <c r="G908" s="33"/>
    </row>
    <row r="909">
      <c r="F909" s="33"/>
      <c r="G909" s="33"/>
    </row>
    <row r="910">
      <c r="F910" s="33"/>
      <c r="G910" s="33"/>
    </row>
    <row r="911">
      <c r="F911" s="33"/>
      <c r="G911" s="33"/>
    </row>
    <row r="912">
      <c r="F912" s="33"/>
      <c r="G912" s="33"/>
    </row>
    <row r="913">
      <c r="F913" s="33"/>
      <c r="G913" s="33"/>
    </row>
    <row r="914">
      <c r="F914" s="33"/>
      <c r="G914" s="33"/>
    </row>
    <row r="915">
      <c r="F915" s="33"/>
      <c r="G915" s="33"/>
    </row>
    <row r="916">
      <c r="F916" s="33"/>
      <c r="G916" s="33"/>
    </row>
    <row r="917">
      <c r="F917" s="33"/>
      <c r="G917" s="33"/>
    </row>
    <row r="918">
      <c r="F918" s="33"/>
      <c r="G918" s="33"/>
    </row>
    <row r="919">
      <c r="F919" s="33"/>
      <c r="G919" s="33"/>
    </row>
    <row r="920">
      <c r="F920" s="33"/>
      <c r="G920" s="33"/>
    </row>
    <row r="921">
      <c r="F921" s="33"/>
      <c r="G921" s="33"/>
    </row>
    <row r="922">
      <c r="F922" s="33"/>
      <c r="G922" s="33"/>
    </row>
    <row r="923">
      <c r="F923" s="33"/>
      <c r="G923" s="33"/>
    </row>
    <row r="924">
      <c r="F924" s="33"/>
      <c r="G924" s="33"/>
    </row>
    <row r="925">
      <c r="F925" s="33"/>
      <c r="G925" s="33"/>
    </row>
    <row r="926">
      <c r="F926" s="33"/>
      <c r="G926" s="33"/>
    </row>
    <row r="927">
      <c r="F927" s="33"/>
      <c r="G927" s="33"/>
    </row>
    <row r="928">
      <c r="F928" s="33"/>
      <c r="G928" s="33"/>
    </row>
    <row r="929">
      <c r="F929" s="33"/>
      <c r="G929" s="33"/>
    </row>
    <row r="930">
      <c r="F930" s="33"/>
      <c r="G930" s="33"/>
    </row>
    <row r="931">
      <c r="F931" s="33"/>
      <c r="G931" s="33"/>
    </row>
    <row r="932">
      <c r="F932" s="33"/>
      <c r="G932" s="33"/>
    </row>
    <row r="933">
      <c r="F933" s="33"/>
      <c r="G933" s="33"/>
    </row>
    <row r="934">
      <c r="F934" s="33"/>
      <c r="G934" s="33"/>
    </row>
    <row r="935">
      <c r="F935" s="33"/>
      <c r="G935" s="33"/>
    </row>
    <row r="936">
      <c r="F936" s="33"/>
      <c r="G936" s="33"/>
    </row>
    <row r="937">
      <c r="F937" s="33"/>
      <c r="G937" s="33"/>
    </row>
    <row r="938">
      <c r="F938" s="33"/>
      <c r="G938" s="33"/>
    </row>
    <row r="939">
      <c r="F939" s="33"/>
      <c r="G939" s="33"/>
    </row>
    <row r="940">
      <c r="F940" s="33"/>
      <c r="G940" s="33"/>
    </row>
    <row r="941">
      <c r="F941" s="33"/>
      <c r="G941" s="33"/>
    </row>
    <row r="942">
      <c r="F942" s="33"/>
      <c r="G942" s="33"/>
    </row>
    <row r="943">
      <c r="F943" s="33"/>
      <c r="G943" s="33"/>
    </row>
    <row r="944">
      <c r="F944" s="33"/>
      <c r="G944" s="33"/>
    </row>
    <row r="945">
      <c r="F945" s="33"/>
      <c r="G945" s="33"/>
    </row>
    <row r="946">
      <c r="F946" s="33"/>
      <c r="G946" s="33"/>
    </row>
    <row r="947">
      <c r="F947" s="33"/>
      <c r="G947" s="33"/>
    </row>
    <row r="948">
      <c r="F948" s="33"/>
      <c r="G948" s="33"/>
    </row>
    <row r="949">
      <c r="F949" s="33"/>
      <c r="G949" s="33"/>
    </row>
    <row r="950">
      <c r="F950" s="33"/>
      <c r="G950" s="33"/>
    </row>
    <row r="951">
      <c r="F951" s="33"/>
      <c r="G951" s="33"/>
    </row>
    <row r="952">
      <c r="F952" s="33"/>
      <c r="G952" s="33"/>
    </row>
    <row r="953">
      <c r="F953" s="33"/>
      <c r="G953" s="33"/>
    </row>
    <row r="954">
      <c r="F954" s="33"/>
      <c r="G954" s="33"/>
    </row>
    <row r="955">
      <c r="F955" s="33"/>
      <c r="G955" s="33"/>
    </row>
    <row r="956">
      <c r="F956" s="33"/>
      <c r="G956" s="33"/>
    </row>
    <row r="957">
      <c r="F957" s="33"/>
      <c r="G957" s="33"/>
    </row>
    <row r="958">
      <c r="F958" s="33"/>
      <c r="G958" s="33"/>
    </row>
    <row r="959">
      <c r="F959" s="33"/>
      <c r="G959" s="33"/>
    </row>
    <row r="960">
      <c r="F960" s="33"/>
      <c r="G960" s="33"/>
    </row>
    <row r="961">
      <c r="F961" s="33"/>
      <c r="G961" s="33"/>
    </row>
    <row r="962">
      <c r="F962" s="33"/>
      <c r="G962" s="33"/>
    </row>
    <row r="963">
      <c r="F963" s="33"/>
      <c r="G963" s="33"/>
    </row>
    <row r="964">
      <c r="F964" s="33"/>
      <c r="G964" s="33"/>
    </row>
    <row r="965">
      <c r="F965" s="33"/>
      <c r="G965" s="33"/>
    </row>
    <row r="966">
      <c r="F966" s="33"/>
      <c r="G966" s="33"/>
    </row>
    <row r="967">
      <c r="F967" s="33"/>
      <c r="G967" s="33"/>
    </row>
    <row r="968">
      <c r="F968" s="33"/>
      <c r="G968" s="33"/>
    </row>
    <row r="969">
      <c r="F969" s="33"/>
      <c r="G969" s="33"/>
    </row>
    <row r="970">
      <c r="F970" s="33"/>
      <c r="G970" s="33"/>
    </row>
    <row r="971">
      <c r="F971" s="33"/>
      <c r="G971" s="33"/>
    </row>
    <row r="972">
      <c r="F972" s="33"/>
      <c r="G972" s="33"/>
    </row>
    <row r="973">
      <c r="F973" s="33"/>
      <c r="G973" s="33"/>
    </row>
    <row r="974">
      <c r="F974" s="33"/>
      <c r="G974" s="33"/>
    </row>
    <row r="975">
      <c r="F975" s="33"/>
      <c r="G975" s="33"/>
    </row>
    <row r="976">
      <c r="F976" s="33"/>
      <c r="G976" s="33"/>
    </row>
    <row r="977">
      <c r="F977" s="33"/>
      <c r="G977" s="33"/>
    </row>
    <row r="978">
      <c r="F978" s="33"/>
      <c r="G978" s="33"/>
    </row>
    <row r="979">
      <c r="F979" s="33"/>
      <c r="G979" s="33"/>
    </row>
    <row r="980">
      <c r="F980" s="33"/>
      <c r="G980" s="33"/>
    </row>
    <row r="981">
      <c r="F981" s="33"/>
      <c r="G981" s="33"/>
    </row>
    <row r="982">
      <c r="F982" s="33"/>
      <c r="G982" s="33"/>
    </row>
    <row r="983">
      <c r="F983" s="33"/>
      <c r="G983" s="33"/>
    </row>
    <row r="984">
      <c r="F984" s="33"/>
      <c r="G984" s="33"/>
    </row>
    <row r="985">
      <c r="F985" s="33"/>
      <c r="G985" s="33"/>
    </row>
    <row r="986">
      <c r="F986" s="33"/>
      <c r="G986" s="33"/>
    </row>
    <row r="987">
      <c r="F987" s="33"/>
      <c r="G987" s="33"/>
    </row>
    <row r="988">
      <c r="F988" s="33"/>
      <c r="G988" s="33"/>
    </row>
    <row r="989">
      <c r="F989" s="33"/>
      <c r="G989" s="33"/>
    </row>
    <row r="990">
      <c r="F990" s="33"/>
      <c r="G990" s="33"/>
    </row>
    <row r="991">
      <c r="F991" s="33"/>
      <c r="G991" s="33"/>
    </row>
    <row r="992">
      <c r="F992" s="33"/>
      <c r="G992" s="33"/>
    </row>
    <row r="993">
      <c r="F993" s="33"/>
      <c r="G993" s="33"/>
    </row>
    <row r="994">
      <c r="F994" s="33"/>
      <c r="G994" s="33"/>
    </row>
    <row r="995">
      <c r="F995" s="33"/>
      <c r="G995" s="33"/>
    </row>
    <row r="996">
      <c r="F996" s="33"/>
      <c r="G996" s="33"/>
    </row>
    <row r="997">
      <c r="F997" s="33"/>
      <c r="G997" s="33"/>
    </row>
    <row r="998">
      <c r="F998" s="33"/>
      <c r="G998" s="33"/>
    </row>
    <row r="999">
      <c r="F999" s="33"/>
      <c r="G999" s="33"/>
    </row>
    <row r="1000">
      <c r="F1000" s="33"/>
      <c r="G1000" s="33"/>
    </row>
    <row r="1001">
      <c r="F1001" s="33"/>
      <c r="G1001" s="33"/>
    </row>
    <row r="1002">
      <c r="F1002" s="33"/>
      <c r="G1002" s="33"/>
    </row>
    <row r="1003">
      <c r="F1003" s="33"/>
      <c r="G1003" s="33"/>
    </row>
  </sheetData>
  <hyperlinks>
    <hyperlink r:id="rId1" ref="G3"/>
    <hyperlink r:id="rId2" ref="G5"/>
    <hyperlink r:id="rId3" ref="G9"/>
    <hyperlink r:id="rId4" ref="G11"/>
    <hyperlink r:id="rId5" ref="G15"/>
    <hyperlink r:id="rId6" ref="G32"/>
    <hyperlink r:id="rId7" ref="G34"/>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161</v>
      </c>
      <c r="B1" s="9" t="s">
        <v>162</v>
      </c>
      <c r="C1" s="9" t="s">
        <v>163</v>
      </c>
      <c r="D1" s="9" t="s">
        <v>164</v>
      </c>
      <c r="E1" s="9" t="s">
        <v>165</v>
      </c>
      <c r="F1" s="9" t="s">
        <v>166</v>
      </c>
      <c r="G1" s="9" t="s">
        <v>167</v>
      </c>
      <c r="H1" s="9" t="s">
        <v>168</v>
      </c>
      <c r="I1" s="9" t="s">
        <v>169</v>
      </c>
    </row>
    <row r="2">
      <c r="A2" s="8" t="s">
        <v>49</v>
      </c>
      <c r="B2" s="7" t="s">
        <v>170</v>
      </c>
      <c r="C2" s="7">
        <v>52.0</v>
      </c>
      <c r="D2" s="7" t="s">
        <v>171</v>
      </c>
      <c r="E2" s="7">
        <v>10.0</v>
      </c>
      <c r="F2" s="8" t="s">
        <v>172</v>
      </c>
      <c r="G2" s="7">
        <v>5.0</v>
      </c>
      <c r="H2" s="7" t="s">
        <v>173</v>
      </c>
      <c r="I2" s="7">
        <v>0.0</v>
      </c>
    </row>
    <row r="3">
      <c r="A3" s="8" t="s">
        <v>134</v>
      </c>
      <c r="B3" s="7" t="s">
        <v>170</v>
      </c>
      <c r="C3" s="7">
        <v>21.0</v>
      </c>
      <c r="D3" s="7" t="s">
        <v>174</v>
      </c>
      <c r="E3" s="7">
        <v>9.0</v>
      </c>
      <c r="F3" s="7" t="s">
        <v>176</v>
      </c>
      <c r="G3" s="7">
        <v>4.0</v>
      </c>
      <c r="H3" s="7" t="s">
        <v>173</v>
      </c>
      <c r="I3" s="7">
        <v>2.0</v>
      </c>
    </row>
    <row r="4">
      <c r="A4" s="8" t="s">
        <v>118</v>
      </c>
      <c r="B4" s="7" t="s">
        <v>170</v>
      </c>
      <c r="C4" s="7">
        <v>47.0</v>
      </c>
      <c r="D4" s="7" t="s">
        <v>171</v>
      </c>
      <c r="E4" s="7">
        <v>11.0</v>
      </c>
      <c r="F4" s="7" t="s">
        <v>181</v>
      </c>
      <c r="G4" s="7">
        <v>5.0</v>
      </c>
      <c r="H4" s="7" t="s">
        <v>173</v>
      </c>
      <c r="I4" s="7">
        <v>2.0</v>
      </c>
    </row>
    <row r="5">
      <c r="A5" s="8" t="s">
        <v>101</v>
      </c>
      <c r="B5" s="7" t="s">
        <v>170</v>
      </c>
      <c r="C5" s="7">
        <v>21.0</v>
      </c>
      <c r="D5" s="7" t="s">
        <v>171</v>
      </c>
      <c r="E5" s="7">
        <v>18.0</v>
      </c>
      <c r="F5" s="7" t="s">
        <v>185</v>
      </c>
      <c r="G5" s="7">
        <v>5.0</v>
      </c>
      <c r="H5" s="7" t="s">
        <v>186</v>
      </c>
      <c r="I5" s="7">
        <v>2.0</v>
      </c>
    </row>
    <row r="6">
      <c r="A6" s="8" t="s">
        <v>89</v>
      </c>
      <c r="B6" s="7" t="s">
        <v>187</v>
      </c>
      <c r="C6" s="7">
        <v>26.0</v>
      </c>
      <c r="D6" s="7" t="s">
        <v>174</v>
      </c>
      <c r="E6" s="7">
        <v>19.0</v>
      </c>
      <c r="F6" s="7" t="s">
        <v>185</v>
      </c>
      <c r="G6" s="7">
        <v>4.0</v>
      </c>
      <c r="H6" s="7" t="s">
        <v>186</v>
      </c>
      <c r="I6" s="7">
        <v>2.0</v>
      </c>
    </row>
    <row r="7">
      <c r="A7" s="8" t="s">
        <v>136</v>
      </c>
      <c r="B7" s="7" t="s">
        <v>187</v>
      </c>
      <c r="C7" s="7">
        <v>21.0</v>
      </c>
      <c r="D7" s="7" t="s">
        <v>171</v>
      </c>
      <c r="E7" s="7">
        <v>12.0</v>
      </c>
      <c r="F7" s="7" t="s">
        <v>185</v>
      </c>
      <c r="G7" s="7">
        <v>5.0</v>
      </c>
      <c r="H7" s="7" t="s">
        <v>188</v>
      </c>
      <c r="I7" s="7">
        <v>2.0</v>
      </c>
    </row>
    <row r="8">
      <c r="A8" s="8" t="s">
        <v>80</v>
      </c>
      <c r="B8" s="7" t="s">
        <v>170</v>
      </c>
      <c r="C8" s="7">
        <v>27.0</v>
      </c>
      <c r="D8" s="7" t="s">
        <v>189</v>
      </c>
      <c r="E8" s="7">
        <v>17.0</v>
      </c>
      <c r="F8" s="7" t="s">
        <v>185</v>
      </c>
      <c r="G8" s="7">
        <v>5.0</v>
      </c>
      <c r="H8" s="7" t="s">
        <v>173</v>
      </c>
      <c r="I8" s="7">
        <v>1.0</v>
      </c>
    </row>
    <row r="9">
      <c r="A9" s="8" t="s">
        <v>69</v>
      </c>
      <c r="B9" s="7" t="s">
        <v>170</v>
      </c>
      <c r="C9" s="7">
        <v>23.0</v>
      </c>
      <c r="D9" s="7" t="s">
        <v>174</v>
      </c>
      <c r="E9" s="7">
        <v>15.0</v>
      </c>
      <c r="F9" s="7" t="s">
        <v>185</v>
      </c>
      <c r="G9" s="7">
        <v>4.0</v>
      </c>
      <c r="H9" s="7" t="s">
        <v>173</v>
      </c>
      <c r="I9" s="7">
        <v>2.0</v>
      </c>
    </row>
    <row r="10">
      <c r="A10" s="8" t="s">
        <v>61</v>
      </c>
      <c r="B10" s="7" t="s">
        <v>187</v>
      </c>
      <c r="C10" s="7">
        <v>27.0</v>
      </c>
      <c r="D10" s="7" t="s">
        <v>174</v>
      </c>
      <c r="E10" s="7">
        <v>21.0</v>
      </c>
      <c r="F10" s="7" t="s">
        <v>185</v>
      </c>
      <c r="G10" s="7">
        <v>2.0</v>
      </c>
      <c r="H10" s="7" t="s">
        <v>186</v>
      </c>
      <c r="I10" s="7">
        <v>3.0</v>
      </c>
    </row>
    <row r="11">
      <c r="A11" s="8" t="s">
        <v>44</v>
      </c>
      <c r="B11" s="7" t="s">
        <v>187</v>
      </c>
      <c r="C11" s="7">
        <v>57.0</v>
      </c>
      <c r="D11" s="7" t="s">
        <v>174</v>
      </c>
      <c r="E11" s="7">
        <v>15.0</v>
      </c>
      <c r="F11" s="7" t="s">
        <v>181</v>
      </c>
      <c r="G11" s="7">
        <v>3.0</v>
      </c>
      <c r="H11" s="7" t="s">
        <v>173</v>
      </c>
      <c r="I11" s="7">
        <v>2.0</v>
      </c>
    </row>
    <row r="12">
      <c r="A12" s="8" t="s">
        <v>13</v>
      </c>
      <c r="B12" s="7" t="s">
        <v>187</v>
      </c>
      <c r="C12" s="7">
        <v>18.0</v>
      </c>
      <c r="D12" s="7" t="s">
        <v>174</v>
      </c>
      <c r="E12" s="7">
        <v>13.0</v>
      </c>
      <c r="F12" s="7" t="s">
        <v>185</v>
      </c>
      <c r="G12" s="7">
        <v>5.0</v>
      </c>
      <c r="H12" s="7" t="s">
        <v>173</v>
      </c>
      <c r="I12" s="7">
        <v>1.0</v>
      </c>
    </row>
    <row r="13">
      <c r="A13" s="8" t="s">
        <v>117</v>
      </c>
      <c r="B13" s="7" t="s">
        <v>187</v>
      </c>
      <c r="C13" s="7">
        <v>53.0</v>
      </c>
      <c r="D13" s="7" t="s">
        <v>171</v>
      </c>
      <c r="E13" s="7">
        <v>11.0</v>
      </c>
      <c r="F13" s="7" t="s">
        <v>194</v>
      </c>
      <c r="G13" s="7">
        <v>5.0</v>
      </c>
      <c r="H13" s="7" t="s">
        <v>173</v>
      </c>
      <c r="I13" s="7">
        <v>1.0</v>
      </c>
    </row>
    <row r="14">
      <c r="A14" s="8" t="s">
        <v>110</v>
      </c>
      <c r="B14" s="7" t="s">
        <v>187</v>
      </c>
      <c r="C14" s="7">
        <v>19.0</v>
      </c>
      <c r="D14" s="7" t="s">
        <v>189</v>
      </c>
      <c r="E14" s="7">
        <v>12.0</v>
      </c>
      <c r="F14" s="7" t="s">
        <v>185</v>
      </c>
      <c r="G14" s="7">
        <v>5.0</v>
      </c>
      <c r="H14" s="7" t="s">
        <v>186</v>
      </c>
      <c r="I14" s="7">
        <v>2.0</v>
      </c>
    </row>
    <row r="15">
      <c r="A15" s="8" t="s">
        <v>122</v>
      </c>
      <c r="B15" s="7" t="s">
        <v>170</v>
      </c>
      <c r="C15" s="7">
        <v>21.0</v>
      </c>
      <c r="D15" s="7" t="s">
        <v>171</v>
      </c>
      <c r="E15" s="7">
        <v>2.0</v>
      </c>
      <c r="F15" s="7" t="s">
        <v>176</v>
      </c>
      <c r="G15" s="7">
        <v>5.0</v>
      </c>
      <c r="H15" s="7" t="s">
        <v>173</v>
      </c>
      <c r="I15" s="7">
        <v>2.0</v>
      </c>
    </row>
    <row r="16">
      <c r="A16" s="8" t="s">
        <v>100</v>
      </c>
      <c r="B16" s="7" t="s">
        <v>187</v>
      </c>
      <c r="C16" s="7">
        <v>22.0</v>
      </c>
      <c r="D16" s="7" t="s">
        <v>174</v>
      </c>
      <c r="E16" s="7">
        <v>13.0</v>
      </c>
      <c r="F16" s="7" t="s">
        <v>185</v>
      </c>
      <c r="G16" s="7">
        <v>4.0</v>
      </c>
      <c r="H16" s="7" t="s">
        <v>173</v>
      </c>
      <c r="I16" s="7">
        <v>1.0</v>
      </c>
    </row>
    <row r="17">
      <c r="A17" s="8" t="s">
        <v>120</v>
      </c>
      <c r="B17" s="7" t="s">
        <v>170</v>
      </c>
      <c r="C17" s="7">
        <v>36.0</v>
      </c>
      <c r="D17" s="7" t="s">
        <v>171</v>
      </c>
      <c r="E17" s="7">
        <v>5.0</v>
      </c>
      <c r="F17" s="7" t="s">
        <v>181</v>
      </c>
      <c r="G17" s="7">
        <v>5.0</v>
      </c>
      <c r="H17" s="7" t="s">
        <v>186</v>
      </c>
      <c r="I17" s="7">
        <v>2.0</v>
      </c>
    </row>
    <row r="18">
      <c r="A18" s="8" t="s">
        <v>105</v>
      </c>
      <c r="B18" s="7" t="s">
        <v>187</v>
      </c>
      <c r="C18" s="7">
        <v>62.0</v>
      </c>
      <c r="D18" s="7" t="s">
        <v>174</v>
      </c>
      <c r="E18" s="7">
        <v>15.0</v>
      </c>
      <c r="F18" s="7" t="s">
        <v>181</v>
      </c>
      <c r="G18" s="7">
        <v>5.0</v>
      </c>
      <c r="H18" s="7" t="s">
        <v>186</v>
      </c>
      <c r="I18" s="7">
        <v>3.0</v>
      </c>
    </row>
    <row r="19">
      <c r="A19" s="8" t="s">
        <v>133</v>
      </c>
      <c r="B19" s="7" t="s">
        <v>187</v>
      </c>
      <c r="C19" s="7">
        <v>22.0</v>
      </c>
      <c r="D19" s="7" t="s">
        <v>189</v>
      </c>
      <c r="E19" s="7">
        <v>14.0</v>
      </c>
      <c r="F19" s="7" t="s">
        <v>185</v>
      </c>
      <c r="G19" s="7">
        <v>1.0</v>
      </c>
      <c r="H19" s="7" t="s">
        <v>173</v>
      </c>
      <c r="I19" s="7">
        <v>2.0</v>
      </c>
    </row>
    <row r="20">
      <c r="A20" s="8" t="s">
        <v>97</v>
      </c>
      <c r="B20" s="7" t="s">
        <v>170</v>
      </c>
      <c r="C20" s="7">
        <v>36.0</v>
      </c>
      <c r="D20" s="7" t="s">
        <v>174</v>
      </c>
      <c r="E20" s="7">
        <v>11.0</v>
      </c>
      <c r="F20" s="7" t="s">
        <v>181</v>
      </c>
      <c r="G20" s="7">
        <v>5.0</v>
      </c>
      <c r="H20" s="7" t="s">
        <v>173</v>
      </c>
      <c r="I20" s="7">
        <v>1.0</v>
      </c>
    </row>
    <row r="21">
      <c r="A21" s="8" t="s">
        <v>106</v>
      </c>
      <c r="B21" s="7" t="s">
        <v>170</v>
      </c>
      <c r="C21" s="7">
        <v>24.0</v>
      </c>
      <c r="D21" s="7" t="s">
        <v>189</v>
      </c>
      <c r="E21" s="7">
        <v>17.0</v>
      </c>
      <c r="F21" s="7" t="s">
        <v>185</v>
      </c>
      <c r="G21" s="7">
        <v>5.0</v>
      </c>
      <c r="H21" s="7" t="s">
        <v>186</v>
      </c>
      <c r="I21" s="7">
        <v>2.0</v>
      </c>
    </row>
    <row r="22">
      <c r="A22" s="8" t="s">
        <v>88</v>
      </c>
      <c r="B22" s="7" t="s">
        <v>170</v>
      </c>
      <c r="C22" s="7">
        <v>64.0</v>
      </c>
      <c r="D22" s="7" t="s">
        <v>171</v>
      </c>
      <c r="E22" s="7">
        <v>11.0</v>
      </c>
      <c r="F22" s="7" t="s">
        <v>181</v>
      </c>
      <c r="G22" s="7">
        <v>5.0</v>
      </c>
      <c r="H22" s="7" t="s">
        <v>173</v>
      </c>
      <c r="I22" s="7">
        <v>1.0</v>
      </c>
    </row>
    <row r="23">
      <c r="A23" s="8" t="s">
        <v>92</v>
      </c>
      <c r="B23" s="7" t="s">
        <v>187</v>
      </c>
      <c r="C23" s="7">
        <v>36.0</v>
      </c>
      <c r="D23" s="7" t="s">
        <v>171</v>
      </c>
      <c r="E23" s="7">
        <v>11.0</v>
      </c>
      <c r="F23" s="7" t="s">
        <v>181</v>
      </c>
      <c r="G23" s="7">
        <v>4.0</v>
      </c>
      <c r="H23" s="7" t="s">
        <v>173</v>
      </c>
      <c r="I23" s="7">
        <v>2.0</v>
      </c>
    </row>
    <row r="24">
      <c r="A24" s="8" t="s">
        <v>135</v>
      </c>
      <c r="B24" s="7" t="s">
        <v>170</v>
      </c>
      <c r="C24" s="7">
        <v>64.0</v>
      </c>
      <c r="D24" s="7" t="s">
        <v>171</v>
      </c>
      <c r="E24" s="7">
        <v>0.0</v>
      </c>
      <c r="F24" s="8" t="s">
        <v>172</v>
      </c>
      <c r="G24" s="7">
        <v>4.0</v>
      </c>
      <c r="H24" s="7" t="s">
        <v>186</v>
      </c>
      <c r="I24" s="7">
        <v>2.0</v>
      </c>
    </row>
    <row r="25">
      <c r="A25" s="8" t="s">
        <v>94</v>
      </c>
      <c r="B25" s="7" t="s">
        <v>187</v>
      </c>
      <c r="C25" s="7">
        <v>20.0</v>
      </c>
      <c r="D25" s="7" t="s">
        <v>174</v>
      </c>
      <c r="E25" s="7">
        <v>16.0</v>
      </c>
      <c r="F25" s="7" t="s">
        <v>185</v>
      </c>
      <c r="G25" s="7">
        <v>3.0</v>
      </c>
      <c r="H25" s="7" t="s">
        <v>173</v>
      </c>
      <c r="I25" s="7">
        <v>3.0</v>
      </c>
    </row>
    <row r="26">
      <c r="A26" s="8" t="s">
        <v>119</v>
      </c>
      <c r="B26" s="7" t="s">
        <v>170</v>
      </c>
      <c r="C26" s="7">
        <v>46.0</v>
      </c>
      <c r="D26" s="7" t="s">
        <v>171</v>
      </c>
      <c r="E26" s="7">
        <v>11.0</v>
      </c>
      <c r="F26" s="7" t="s">
        <v>176</v>
      </c>
      <c r="G26" s="7">
        <v>5.0</v>
      </c>
      <c r="H26" s="7" t="s">
        <v>173</v>
      </c>
      <c r="I26" s="7">
        <v>1.0</v>
      </c>
    </row>
    <row r="27">
      <c r="A27" s="8" t="s">
        <v>99</v>
      </c>
      <c r="B27" s="7" t="s">
        <v>187</v>
      </c>
      <c r="C27" s="7">
        <v>21.0</v>
      </c>
      <c r="D27" s="7" t="s">
        <v>174</v>
      </c>
      <c r="E27" s="7">
        <v>2.0</v>
      </c>
      <c r="F27" s="7" t="s">
        <v>185</v>
      </c>
      <c r="G27" s="7">
        <v>3.0</v>
      </c>
      <c r="H27" s="7" t="s">
        <v>173</v>
      </c>
      <c r="I27" s="7">
        <v>2.0</v>
      </c>
    </row>
    <row r="28">
      <c r="A28" s="8" t="s">
        <v>76</v>
      </c>
      <c r="B28" s="7" t="s">
        <v>170</v>
      </c>
      <c r="C28" s="7">
        <v>52.0</v>
      </c>
      <c r="D28" s="7" t="s">
        <v>171</v>
      </c>
      <c r="E28" s="7">
        <v>20.0</v>
      </c>
      <c r="F28" s="7" t="s">
        <v>181</v>
      </c>
      <c r="G28" s="7">
        <v>5.0</v>
      </c>
      <c r="H28" s="7" t="s">
        <v>173</v>
      </c>
      <c r="I28" s="7">
        <v>1.0</v>
      </c>
    </row>
    <row r="29">
      <c r="A29" s="8" t="s">
        <v>95</v>
      </c>
      <c r="B29" s="7" t="s">
        <v>170</v>
      </c>
      <c r="C29" s="7">
        <v>59.0</v>
      </c>
      <c r="D29" s="7" t="s">
        <v>174</v>
      </c>
      <c r="E29" s="7">
        <v>14.0</v>
      </c>
      <c r="F29" s="7" t="s">
        <v>181</v>
      </c>
      <c r="G29" s="7">
        <v>3.0</v>
      </c>
      <c r="H29" s="7" t="s">
        <v>188</v>
      </c>
      <c r="I29" s="7">
        <v>2.0</v>
      </c>
    </row>
    <row r="30">
      <c r="A30" s="8" t="s">
        <v>39</v>
      </c>
      <c r="B30" s="7" t="s">
        <v>170</v>
      </c>
      <c r="C30" s="7">
        <v>45.0</v>
      </c>
      <c r="D30" s="7" t="s">
        <v>171</v>
      </c>
      <c r="E30" s="7">
        <v>13.0</v>
      </c>
      <c r="F30" s="7" t="s">
        <v>185</v>
      </c>
      <c r="G30" s="7">
        <v>5.0</v>
      </c>
      <c r="H30" s="7" t="s">
        <v>173</v>
      </c>
      <c r="I30" s="7">
        <v>1.0</v>
      </c>
    </row>
    <row r="31">
      <c r="A31" s="8" t="s">
        <v>107</v>
      </c>
      <c r="B31" s="7" t="s">
        <v>170</v>
      </c>
      <c r="C31" s="7">
        <v>18.0</v>
      </c>
      <c r="D31" s="7" t="s">
        <v>174</v>
      </c>
      <c r="E31" s="7">
        <v>13.0</v>
      </c>
      <c r="F31" s="7" t="s">
        <v>185</v>
      </c>
      <c r="G31" s="7">
        <v>5.0</v>
      </c>
      <c r="H31" s="7" t="s">
        <v>173</v>
      </c>
      <c r="I31" s="7">
        <v>3.0</v>
      </c>
    </row>
    <row r="32">
      <c r="A32" s="8" t="s">
        <v>26</v>
      </c>
      <c r="B32" s="7" t="s">
        <v>170</v>
      </c>
      <c r="C32" s="7">
        <v>18.0</v>
      </c>
      <c r="D32" s="7" t="s">
        <v>174</v>
      </c>
      <c r="E32" s="7">
        <v>13.0</v>
      </c>
      <c r="F32" s="7" t="s">
        <v>185</v>
      </c>
      <c r="G32" s="7">
        <v>5.0</v>
      </c>
      <c r="H32" s="7" t="s">
        <v>173</v>
      </c>
      <c r="I32" s="7">
        <v>2.0</v>
      </c>
    </row>
    <row r="33">
      <c r="A33" s="8" t="s">
        <v>103</v>
      </c>
      <c r="B33" s="7" t="s">
        <v>170</v>
      </c>
      <c r="C33" s="7">
        <v>49.0</v>
      </c>
      <c r="D33" s="7" t="s">
        <v>171</v>
      </c>
      <c r="E33" s="7">
        <v>11.0</v>
      </c>
      <c r="F33" s="7" t="s">
        <v>181</v>
      </c>
      <c r="G33" s="7">
        <v>5.0</v>
      </c>
      <c r="H33" s="7" t="s">
        <v>173</v>
      </c>
      <c r="I33" s="7">
        <v>2.0</v>
      </c>
    </row>
    <row r="34">
      <c r="A34" s="8" t="s">
        <v>104</v>
      </c>
      <c r="B34" s="7" t="s">
        <v>170</v>
      </c>
      <c r="C34" s="7">
        <v>18.0</v>
      </c>
      <c r="D34" s="7" t="s">
        <v>174</v>
      </c>
      <c r="E34" s="7">
        <v>12.0</v>
      </c>
      <c r="F34" s="7" t="s">
        <v>185</v>
      </c>
      <c r="G34" s="7">
        <v>5.0</v>
      </c>
      <c r="H34" s="7" t="s">
        <v>188</v>
      </c>
      <c r="I34" s="7">
        <v>3.0</v>
      </c>
    </row>
    <row r="35">
      <c r="A35" s="8" t="s">
        <v>98</v>
      </c>
      <c r="B35" s="7" t="s">
        <v>187</v>
      </c>
      <c r="C35" s="7">
        <v>19.0</v>
      </c>
      <c r="D35" s="7" t="s">
        <v>189</v>
      </c>
      <c r="E35" s="7">
        <v>12.0</v>
      </c>
      <c r="F35" s="7" t="s">
        <v>185</v>
      </c>
      <c r="G35" s="7">
        <v>4.0</v>
      </c>
      <c r="H35" s="7" t="s">
        <v>173</v>
      </c>
      <c r="I35" s="7">
        <v>2.0</v>
      </c>
    </row>
    <row r="36">
      <c r="A36" s="8" t="s">
        <v>24</v>
      </c>
      <c r="B36" s="7" t="s">
        <v>187</v>
      </c>
      <c r="C36" s="7">
        <v>24.0</v>
      </c>
      <c r="D36" s="7" t="s">
        <v>174</v>
      </c>
      <c r="E36" s="7">
        <v>5.0</v>
      </c>
      <c r="F36" s="7" t="s">
        <v>176</v>
      </c>
      <c r="G36" s="7">
        <v>3.0</v>
      </c>
      <c r="H36" s="7" t="s">
        <v>173</v>
      </c>
      <c r="I36" s="7">
        <v>2.0</v>
      </c>
    </row>
    <row r="37">
      <c r="A37" s="8" t="s">
        <v>93</v>
      </c>
      <c r="B37" s="7" t="s">
        <v>170</v>
      </c>
      <c r="C37" s="7">
        <v>43.0</v>
      </c>
      <c r="D37" s="7" t="s">
        <v>174</v>
      </c>
      <c r="E37" s="7">
        <v>15.0</v>
      </c>
      <c r="F37" s="7" t="s">
        <v>181</v>
      </c>
      <c r="G37" s="7">
        <v>3.0</v>
      </c>
      <c r="H37" s="7" t="s">
        <v>173</v>
      </c>
      <c r="I37" s="7">
        <v>2.0</v>
      </c>
    </row>
    <row r="38">
      <c r="A38" s="8" t="s">
        <v>90</v>
      </c>
      <c r="B38" s="7" t="s">
        <v>170</v>
      </c>
      <c r="C38" s="7">
        <v>25.0</v>
      </c>
      <c r="D38" s="7" t="s">
        <v>171</v>
      </c>
      <c r="E38" s="7">
        <v>24.0</v>
      </c>
      <c r="F38" s="7" t="s">
        <v>185</v>
      </c>
      <c r="G38" s="7">
        <v>4.0</v>
      </c>
      <c r="H38" s="7" t="s">
        <v>173</v>
      </c>
      <c r="I38" s="7">
        <v>1.0</v>
      </c>
    </row>
    <row r="39">
      <c r="A39" s="8" t="s">
        <v>91</v>
      </c>
      <c r="B39" s="8" t="s">
        <v>172</v>
      </c>
      <c r="C39" s="8" t="s">
        <v>172</v>
      </c>
      <c r="D39" s="8" t="s">
        <v>172</v>
      </c>
      <c r="E39" s="8" t="s">
        <v>172</v>
      </c>
      <c r="F39" s="8" t="s">
        <v>172</v>
      </c>
      <c r="G39" s="8" t="s">
        <v>172</v>
      </c>
      <c r="H39" s="8" t="s">
        <v>172</v>
      </c>
      <c r="I39" s="8" t="s">
        <v>172</v>
      </c>
    </row>
  </sheetData>
  <drawing r:id="rId1"/>
</worksheet>
</file>